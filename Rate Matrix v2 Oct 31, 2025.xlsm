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 Type="http://schemas.openxmlformats.org/officeDocument/2006/relationships/custom-properties" Target="docProps/custom.xml" Id="rId4"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120" yWindow="-120" windowWidth="29040" windowHeight="15840" tabRatio="600" firstSheet="0" activeTab="0" autoFilterDateGrouping="1"/>
  </bookViews>
  <sheets>
    <sheet name="Inputs" sheetId="1" state="visible" r:id="rId1"/>
    <sheet name="Lookup Tables" sheetId="2" state="visible" r:id="rId2"/>
    <sheet name="Calculations" sheetId="3" state="visible" r:id="rId3"/>
    <sheet name="Output_Print" sheetId="4" state="visible" r:id="rId4"/>
    <sheet name="Audit" sheetId="5" state="visible" r:id="rId5"/>
    <sheet name="Guidance" sheetId="6" state="visible" r:id="rId6"/>
    <sheet name="Loans and LOC (70)" sheetId="7" state="visible" r:id="rId7"/>
    <sheet name="VCU Mortgage Rates" sheetId="8" state="visible" r:id="rId8"/>
    <sheet name="A Mortgages" sheetId="9" state="visible" r:id="rId9"/>
    <sheet name="B Mortgages" sheetId="10" state="visible" r:id="rId10"/>
    <sheet name="C Mortgages" sheetId="11" state="visible" r:id="rId11"/>
    <sheet name="Sheet1" sheetId="12" state="hidden" r:id="rId12"/>
    <sheet name="Renewal Process" sheetId="13" state="visible" r:id="rId13"/>
  </sheets>
  <definedNames>
    <definedName name="_xlnm.Print_Area" localSheetId="3">'Output_Print'!$A$1:$F$18</definedName>
    <definedName name="_xlnm.Print_Area" localSheetId="6">'Loans and LOC (70)'!$A$1:$N$39</definedName>
  </definedNames>
  <calcPr calcId="191028" fullCalcOnLoad="1"/>
</workbook>
</file>

<file path=xl/styles.xml><?xml version="1.0" encoding="utf-8"?>
<styleSheet xmlns="http://schemas.openxmlformats.org/spreadsheetml/2006/main">
  <numFmts count="1">
    <numFmt numFmtId="164" formatCode="_-* #,##0.00_-;\-* #,##0.00_-;_-* &quot;-&quot;??_-;_-@_-"/>
  </numFmts>
  <fonts count="19">
    <font>
      <name val="Arial"/>
      <sz val="10"/>
    </font>
    <font>
      <name val="Arial"/>
      <family val="2"/>
      <sz val="10"/>
    </font>
    <font>
      <name val="Arial"/>
      <family val="2"/>
      <b val="1"/>
      <sz val="10"/>
      <u val="single"/>
    </font>
    <font>
      <name val="Arial"/>
      <family val="2"/>
      <b val="1"/>
      <sz val="10"/>
    </font>
    <font>
      <name val="Arial"/>
      <family val="2"/>
      <sz val="10"/>
    </font>
    <font>
      <name val="Cambria"/>
      <family val="1"/>
      <b val="1"/>
      <sz val="11"/>
      <u val="single"/>
    </font>
    <font>
      <name val="Cambria"/>
      <family val="1"/>
      <sz val="11"/>
    </font>
    <font>
      <name val="Cambria"/>
      <family val="1"/>
      <b val="1"/>
      <sz val="11"/>
    </font>
    <font>
      <name val="Cambria"/>
      <family val="1"/>
      <color theme="0" tint="-0.249977111117893"/>
      <sz val="11"/>
    </font>
    <font>
      <name val="Arial Black"/>
      <family val="2"/>
      <b val="1"/>
      <sz val="10"/>
    </font>
    <font>
      <name val="Arial Black"/>
      <family val="2"/>
      <sz val="10"/>
    </font>
    <font>
      <name val="Arial Black"/>
      <family val="2"/>
      <color rgb="FF000000"/>
      <sz val="10"/>
    </font>
    <font>
      <name val="Arial Black"/>
      <family val="2"/>
      <b val="1"/>
      <color rgb="FF000000"/>
      <sz val="10"/>
    </font>
    <font>
      <name val="Arial Black"/>
      <family val="2"/>
      <b val="1"/>
      <color theme="1"/>
      <sz val="10"/>
    </font>
    <font>
      <name val="Arial Black"/>
      <family val="2"/>
      <color theme="1"/>
      <sz val="10"/>
    </font>
    <font>
      <b val="1"/>
      <sz val="14"/>
    </font>
    <font>
      <b val="1"/>
      <color rgb="00FFFFFF"/>
    </font>
    <font>
      <b val="1"/>
      <sz val="16"/>
    </font>
    <font>
      <i val="1"/>
    </font>
  </fonts>
  <fills count="6">
    <fill>
      <patternFill/>
    </fill>
    <fill>
      <patternFill patternType="gray125"/>
    </fill>
    <fill>
      <patternFill patternType="solid">
        <fgColor theme="0" tint="-0.1499984740745262"/>
        <bgColor indexed="64"/>
      </patternFill>
    </fill>
    <fill>
      <patternFill patternType="solid">
        <fgColor theme="1"/>
        <bgColor indexed="64"/>
      </patternFill>
    </fill>
    <fill>
      <patternFill patternType="solid">
        <fgColor rgb="001F4E78"/>
      </patternFill>
    </fill>
    <fill>
      <patternFill patternType="solid">
        <fgColor rgb="00D9E1F2"/>
      </patternFill>
    </fill>
  </fills>
  <borders count="64">
    <border>
      <left/>
      <right/>
      <top/>
      <bottom/>
      <diagonal/>
    </border>
    <border>
      <left style="medium">
        <color indexed="64"/>
      </left>
      <right/>
      <top/>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diagonal/>
    </border>
    <border>
      <left/>
      <right/>
      <top/>
      <bottom style="medium">
        <color rgb="FF000000"/>
      </bottom>
      <diagonal/>
    </border>
    <border>
      <left/>
      <right style="medium">
        <color rgb="FF000000"/>
      </right>
      <top/>
      <bottom style="medium">
        <color rgb="FF000000"/>
      </bottom>
      <diagonal/>
    </border>
    <border>
      <left style="medium">
        <color rgb="FF000000"/>
      </left>
      <right/>
      <top style="medium">
        <color rgb="FF000000"/>
      </top>
      <bottom/>
      <diagonal/>
    </border>
    <border>
      <left/>
      <right/>
      <top style="medium">
        <color rgb="FF000000"/>
      </top>
      <bottom/>
      <diagonal/>
    </border>
    <border>
      <left style="medium">
        <color rgb="FF000000"/>
      </left>
      <right/>
      <top/>
      <bottom style="medium">
        <color rgb="FF000000"/>
      </bottom>
      <diagonal/>
    </border>
    <border>
      <left style="medium">
        <color rgb="FF000000"/>
      </left>
      <right/>
      <top/>
      <bottom/>
      <diagonal/>
    </border>
    <border>
      <left/>
      <right style="medium">
        <color rgb="FF000000"/>
      </right>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indexed="64"/>
      </left>
      <right style="medium">
        <color indexed="64"/>
      </right>
      <top style="thin">
        <color indexed="64"/>
      </top>
      <bottom/>
      <diagonal/>
    </border>
    <border>
      <left style="medium">
        <color indexed="64"/>
      </left>
      <right style="medium">
        <color indexed="64"/>
      </right>
      <top/>
      <bottom style="medium">
        <color rgb="FF000000"/>
      </bottom>
      <diagonal/>
    </border>
    <border>
      <left/>
      <right/>
      <top style="medium">
        <color indexed="64"/>
      </top>
      <bottom/>
      <diagonal/>
    </border>
    <border>
      <left style="medium">
        <color indexed="64"/>
      </left>
      <right style="medium">
        <color indexed="64"/>
      </right>
      <top/>
      <bottom style="thin">
        <color indexed="64"/>
      </bottom>
      <diagonal/>
    </border>
    <border>
      <left/>
      <right/>
      <top style="thin">
        <color indexed="64"/>
      </top>
      <bottom/>
      <diagonal/>
    </border>
    <border>
      <left/>
      <right style="medium">
        <color indexed="64"/>
      </right>
      <top style="thin">
        <color indexed="64"/>
      </top>
      <bottom/>
      <diagonal/>
    </border>
    <border>
      <left style="medium">
        <color rgb="FF000000"/>
      </left>
      <right style="medium">
        <color rgb="FF000000"/>
      </right>
      <top/>
      <bottom style="medium">
        <color rgb="FF000000"/>
      </bottom>
      <diagonal/>
    </border>
    <border>
      <left style="medium">
        <color indexed="64"/>
      </left>
      <right style="medium">
        <color indexed="64"/>
      </right>
      <top style="medium">
        <color indexed="64"/>
      </top>
      <bottom style="medium">
        <color rgb="FF000000"/>
      </bottom>
      <diagonal/>
    </border>
    <border>
      <left/>
      <right style="thin">
        <color indexed="64"/>
      </right>
      <top style="thin">
        <color indexed="64"/>
      </top>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style="thin">
        <color rgb="00D9D9D9"/>
      </left>
      <right style="thin">
        <color rgb="00D9D9D9"/>
      </right>
      <top style="thin">
        <color rgb="00D9D9D9"/>
      </top>
      <bottom style="thin">
        <color rgb="00D9D9D9"/>
      </bottom>
    </border>
  </borders>
  <cellStyleXfs count="2">
    <xf numFmtId="0" fontId="0" fillId="0" borderId="0"/>
    <xf numFmtId="43" fontId="4" fillId="0" borderId="0"/>
  </cellStyleXfs>
  <cellXfs count="186">
    <xf numFmtId="0" fontId="0" fillId="0" borderId="0" pivotButton="0" quotePrefix="0" xfId="0"/>
    <xf numFmtId="0" fontId="2" fillId="0" borderId="0" pivotButton="0" quotePrefix="0" xfId="0"/>
    <xf numFmtId="0" fontId="3" fillId="0" borderId="0" pivotButton="0" quotePrefix="0" xfId="0"/>
    <xf numFmtId="2" fontId="0" fillId="0" borderId="0" applyAlignment="1" pivotButton="0" quotePrefix="0" xfId="0">
      <alignment horizontal="center"/>
    </xf>
    <xf numFmtId="0" fontId="1" fillId="0" borderId="0" pivotButton="0" quotePrefix="0" xfId="0"/>
    <xf numFmtId="9" fontId="0" fillId="0" borderId="0" pivotButton="0" quotePrefix="0" xfId="0"/>
    <xf numFmtId="0" fontId="1" fillId="0" borderId="0" applyAlignment="1" pivotButton="0" quotePrefix="0" xfId="0">
      <alignment horizontal="right"/>
    </xf>
    <xf numFmtId="0" fontId="1" fillId="0" borderId="0" applyAlignment="1" pivotButton="0" quotePrefix="0" xfId="0">
      <alignment wrapText="1"/>
    </xf>
    <xf numFmtId="0" fontId="6" fillId="3" borderId="1" pivotButton="0" quotePrefix="0" xfId="0"/>
    <xf numFmtId="2" fontId="6" fillId="3" borderId="6" applyAlignment="1" pivotButton="0" quotePrefix="0" xfId="0">
      <alignment horizontal="center"/>
    </xf>
    <xf numFmtId="2" fontId="6" fillId="3" borderId="0" applyAlignment="1" pivotButton="0" quotePrefix="0" xfId="0">
      <alignment horizontal="center"/>
    </xf>
    <xf numFmtId="0" fontId="6" fillId="3" borderId="0" pivotButton="0" quotePrefix="0" xfId="0"/>
    <xf numFmtId="0" fontId="6" fillId="2" borderId="1" applyAlignment="1" pivotButton="0" quotePrefix="0" xfId="0">
      <alignment horizontal="left" vertical="top" wrapText="1"/>
    </xf>
    <xf numFmtId="2" fontId="6" fillId="0" borderId="11" applyAlignment="1" applyProtection="1" pivotButton="0" quotePrefix="0" xfId="0">
      <alignment horizontal="center"/>
      <protection locked="0" hidden="0"/>
    </xf>
    <xf numFmtId="0" fontId="6" fillId="2" borderId="4" applyAlignment="1" pivotButton="0" quotePrefix="0" xfId="0">
      <alignment horizontal="left" vertical="top" wrapText="1"/>
    </xf>
    <xf numFmtId="2" fontId="6" fillId="0" borderId="4" applyAlignment="1" applyProtection="1" pivotButton="0" quotePrefix="0" xfId="0">
      <alignment horizontal="center"/>
      <protection locked="0" hidden="0"/>
    </xf>
    <xf numFmtId="0" fontId="6" fillId="2" borderId="1" applyAlignment="1" pivotButton="0" quotePrefix="0" xfId="0">
      <alignment wrapText="1"/>
    </xf>
    <xf numFmtId="0" fontId="6" fillId="2" borderId="1" applyAlignment="1" pivotButton="0" quotePrefix="0" xfId="0">
      <alignment vertical="top" wrapText="1"/>
    </xf>
    <xf numFmtId="0" fontId="6" fillId="2" borderId="1" applyAlignment="1" pivotButton="0" quotePrefix="0" xfId="0">
      <alignment vertical="top"/>
    </xf>
    <xf numFmtId="0" fontId="6" fillId="2" borderId="0" applyAlignment="1" pivotButton="0" quotePrefix="0" xfId="0">
      <alignment vertical="top" wrapText="1"/>
    </xf>
    <xf numFmtId="0" fontId="6" fillId="3" borderId="1" applyAlignment="1" pivotButton="0" quotePrefix="0" xfId="0">
      <alignment wrapText="1"/>
    </xf>
    <xf numFmtId="2" fontId="6" fillId="3" borderId="12" applyAlignment="1" applyProtection="1" pivotButton="0" quotePrefix="0" xfId="0">
      <alignment horizontal="center"/>
      <protection locked="0" hidden="0"/>
    </xf>
    <xf numFmtId="2" fontId="6" fillId="3" borderId="13" applyAlignment="1" applyProtection="1" pivotButton="0" quotePrefix="0" xfId="0">
      <alignment horizontal="center"/>
      <protection locked="0" hidden="0"/>
    </xf>
    <xf numFmtId="0" fontId="6" fillId="3" borderId="1" applyAlignment="1" pivotButton="0" quotePrefix="0" xfId="0">
      <alignment vertical="top"/>
    </xf>
    <xf numFmtId="0" fontId="6" fillId="2" borderId="0" applyAlignment="1" pivotButton="0" quotePrefix="0" xfId="0">
      <alignment horizontal="left" vertical="top"/>
    </xf>
    <xf numFmtId="0" fontId="8" fillId="3" borderId="1" pivotButton="0" quotePrefix="0" xfId="0"/>
    <xf numFmtId="0" fontId="8" fillId="2" borderId="1" pivotButton="0" quotePrefix="0" xfId="0"/>
    <xf numFmtId="0" fontId="6" fillId="2" borderId="0" pivotButton="0" quotePrefix="0" xfId="0"/>
    <xf numFmtId="0" fontId="6" fillId="0" borderId="8" pivotButton="0" quotePrefix="0" xfId="0"/>
    <xf numFmtId="2" fontId="6" fillId="0" borderId="44" applyAlignment="1" pivotButton="0" quotePrefix="0" xfId="0">
      <alignment horizontal="center"/>
    </xf>
    <xf numFmtId="0" fontId="6" fillId="0" borderId="1" pivotButton="0" quotePrefix="0" xfId="0"/>
    <xf numFmtId="2" fontId="6" fillId="0" borderId="0" applyAlignment="1" pivotButton="0" quotePrefix="0" xfId="0">
      <alignment horizontal="center"/>
    </xf>
    <xf numFmtId="0" fontId="6" fillId="0" borderId="39" pivotButton="0" quotePrefix="0" xfId="0"/>
    <xf numFmtId="2" fontId="6" fillId="0" borderId="40" applyAlignment="1" pivotButton="0" quotePrefix="0" xfId="0">
      <alignment horizontal="center"/>
    </xf>
    <xf numFmtId="0" fontId="6" fillId="0" borderId="42" pivotButton="0" quotePrefix="0" xfId="0"/>
    <xf numFmtId="0" fontId="7" fillId="0" borderId="44" pivotButton="0" quotePrefix="0" xfId="0"/>
    <xf numFmtId="2" fontId="7" fillId="0" borderId="46" applyAlignment="1" pivotButton="0" quotePrefix="0" xfId="0">
      <alignment horizontal="center"/>
    </xf>
    <xf numFmtId="0" fontId="7" fillId="0" borderId="3" pivotButton="0" quotePrefix="0" xfId="0"/>
    <xf numFmtId="2" fontId="7" fillId="2" borderId="14" applyAlignment="1" pivotButton="0" quotePrefix="0" xfId="0">
      <alignment horizontal="center"/>
    </xf>
    <xf numFmtId="0" fontId="6" fillId="0" borderId="0" pivotButton="0" quotePrefix="0" xfId="0"/>
    <xf numFmtId="0" fontId="9" fillId="0" borderId="0" pivotButton="0" quotePrefix="0" xfId="0"/>
    <xf numFmtId="0" fontId="10" fillId="0" borderId="0" pivotButton="0" quotePrefix="0" xfId="0"/>
    <xf numFmtId="0" fontId="11" fillId="0" borderId="0" pivotButton="0" quotePrefix="0" xfId="0"/>
    <xf numFmtId="9" fontId="9" fillId="0" borderId="0" pivotButton="0" quotePrefix="0" xfId="0"/>
    <xf numFmtId="0" fontId="13" fillId="0" borderId="4" applyAlignment="1" pivotButton="0" quotePrefix="0" xfId="0">
      <alignment vertical="top" wrapText="1"/>
    </xf>
    <xf numFmtId="0" fontId="12" fillId="0" borderId="35" pivotButton="0" quotePrefix="0" xfId="0"/>
    <xf numFmtId="0" fontId="14" fillId="0" borderId="4" applyAlignment="1" pivotButton="0" quotePrefix="0" xfId="0">
      <alignment vertical="top" wrapText="1"/>
    </xf>
    <xf numFmtId="0" fontId="10" fillId="0" borderId="14" applyAlignment="1" pivotButton="0" quotePrefix="0" xfId="0">
      <alignment horizontal="center"/>
    </xf>
    <xf numFmtId="0" fontId="10" fillId="0" borderId="4" applyAlignment="1" pivotButton="0" quotePrefix="0" xfId="0">
      <alignment horizontal="center"/>
    </xf>
    <xf numFmtId="10" fontId="10" fillId="0" borderId="4" applyAlignment="1" pivotButton="0" quotePrefix="0" xfId="0">
      <alignment horizontal="center"/>
    </xf>
    <xf numFmtId="0" fontId="9" fillId="0" borderId="0" applyAlignment="1" pivotButton="0" quotePrefix="0" xfId="0">
      <alignment wrapText="1"/>
    </xf>
    <xf numFmtId="2" fontId="6" fillId="0" borderId="35" applyAlignment="1" pivotButton="0" quotePrefix="0" xfId="0">
      <alignment horizontal="center"/>
    </xf>
    <xf numFmtId="0" fontId="6" fillId="0" borderId="8" applyAlignment="1" pivotButton="0" quotePrefix="0" xfId="0">
      <alignment horizontal="left" vertical="center" wrapText="1"/>
    </xf>
    <xf numFmtId="0" fontId="6" fillId="0" borderId="10" applyAlignment="1" pivotButton="0" quotePrefix="0" xfId="0">
      <alignment horizontal="left" vertical="center" wrapText="1"/>
    </xf>
    <xf numFmtId="0" fontId="6" fillId="0" borderId="9" applyAlignment="1" pivotButton="0" quotePrefix="0" xfId="0">
      <alignment horizontal="left" vertical="center" wrapText="1"/>
    </xf>
    <xf numFmtId="2" fontId="6" fillId="0" borderId="22" applyAlignment="1" applyProtection="1" pivotButton="0" quotePrefix="0" xfId="0">
      <alignment horizontal="center"/>
      <protection locked="0" hidden="0"/>
    </xf>
    <xf numFmtId="2" fontId="6" fillId="0" borderId="13" applyAlignment="1" applyProtection="1" pivotButton="0" quotePrefix="0" xfId="0">
      <alignment horizontal="center"/>
      <protection locked="0" hidden="0"/>
    </xf>
    <xf numFmtId="0" fontId="6" fillId="2" borderId="1" applyAlignment="1" pivotButton="0" quotePrefix="0" xfId="0">
      <alignment horizontal="left" vertical="top" wrapText="1"/>
    </xf>
    <xf numFmtId="0" fontId="7" fillId="2" borderId="25" applyAlignment="1" pivotButton="0" quotePrefix="0" xfId="0">
      <alignment horizontal="left" vertical="center" wrapText="1"/>
    </xf>
    <xf numFmtId="0" fontId="7" fillId="2" borderId="26" applyAlignment="1" pivotButton="0" quotePrefix="0" xfId="0">
      <alignment horizontal="left" vertical="center" wrapText="1"/>
    </xf>
    <xf numFmtId="0" fontId="7" fillId="2" borderId="27" applyAlignment="1" pivotButton="0" quotePrefix="0" xfId="0">
      <alignment horizontal="left" vertical="center" wrapText="1"/>
    </xf>
    <xf numFmtId="0" fontId="7" fillId="2" borderId="30" applyAlignment="1" pivotButton="0" quotePrefix="0" xfId="0">
      <alignment horizontal="center" vertical="center"/>
    </xf>
    <xf numFmtId="0" fontId="7" fillId="2" borderId="16" applyAlignment="1" pivotButton="0" quotePrefix="0" xfId="0">
      <alignment horizontal="center" vertical="center"/>
    </xf>
    <xf numFmtId="0" fontId="7" fillId="2" borderId="31" applyAlignment="1" pivotButton="0" quotePrefix="0" xfId="0">
      <alignment horizontal="center" vertical="center"/>
    </xf>
    <xf numFmtId="0" fontId="6" fillId="0" borderId="32" applyAlignment="1" pivotButton="0" quotePrefix="0" xfId="0">
      <alignment horizontal="left" vertical="center" wrapText="1"/>
    </xf>
    <xf numFmtId="0" fontId="6" fillId="0" borderId="33" applyAlignment="1" pivotButton="0" quotePrefix="0" xfId="0">
      <alignment horizontal="left" vertical="center" wrapText="1"/>
    </xf>
    <xf numFmtId="0" fontId="6" fillId="0" borderId="34" applyAlignment="1" pivotButton="0" quotePrefix="0" xfId="0">
      <alignment horizontal="left" vertical="center" wrapText="1"/>
    </xf>
    <xf numFmtId="0" fontId="6" fillId="2" borderId="13" applyAlignment="1" pivotButton="0" quotePrefix="0" xfId="0">
      <alignment horizontal="left" vertical="top"/>
    </xf>
    <xf numFmtId="0" fontId="7" fillId="2" borderId="23" applyAlignment="1" pivotButton="0" quotePrefix="0" xfId="0">
      <alignment horizontal="left" vertical="center" wrapText="1"/>
    </xf>
    <xf numFmtId="0" fontId="7" fillId="2" borderId="15" applyAlignment="1" pivotButton="0" quotePrefix="0" xfId="0">
      <alignment horizontal="left" vertical="center" wrapText="1"/>
    </xf>
    <xf numFmtId="0" fontId="7" fillId="2" borderId="24" applyAlignment="1" pivotButton="0" quotePrefix="0" xfId="0">
      <alignment horizontal="left" vertical="center" wrapText="1"/>
    </xf>
    <xf numFmtId="2" fontId="6" fillId="0" borderId="12" applyAlignment="1" applyProtection="1" pivotButton="0" quotePrefix="0" xfId="0">
      <alignment horizontal="center"/>
      <protection locked="0" hidden="0"/>
    </xf>
    <xf numFmtId="0" fontId="5" fillId="2" borderId="8" applyAlignment="1" applyProtection="1" pivotButton="0" quotePrefix="0" xfId="0">
      <alignment horizontal="left"/>
      <protection locked="0" hidden="0"/>
    </xf>
    <xf numFmtId="0" fontId="5" fillId="2" borderId="10" applyAlignment="1" applyProtection="1" pivotButton="0" quotePrefix="0" xfId="0">
      <alignment horizontal="left"/>
      <protection locked="0" hidden="0"/>
    </xf>
    <xf numFmtId="0" fontId="5" fillId="2" borderId="9" applyAlignment="1" applyProtection="1" pivotButton="0" quotePrefix="0" xfId="0">
      <alignment horizontal="left"/>
      <protection locked="0" hidden="0"/>
    </xf>
    <xf numFmtId="0" fontId="7" fillId="2" borderId="2" applyAlignment="1" pivotButton="0" quotePrefix="0" xfId="0">
      <alignment horizontal="center" vertical="center" wrapText="1"/>
    </xf>
    <xf numFmtId="0" fontId="7" fillId="2" borderId="5" applyAlignment="1" pivotButton="0" quotePrefix="0" xfId="0">
      <alignment horizontal="center" vertical="center" wrapText="1"/>
    </xf>
    <xf numFmtId="0" fontId="7" fillId="2" borderId="3" applyAlignment="1" pivotButton="0" quotePrefix="0" xfId="0">
      <alignment horizontal="center" vertical="center" wrapText="1"/>
    </xf>
    <xf numFmtId="0" fontId="7" fillId="2" borderId="7" applyAlignment="1" pivotButton="0" quotePrefix="0" xfId="0">
      <alignment horizontal="center" vertical="center" wrapText="1"/>
    </xf>
    <xf numFmtId="0" fontId="7" fillId="2" borderId="28" applyAlignment="1" pivotButton="0" quotePrefix="0" xfId="0">
      <alignment horizontal="center" vertical="center"/>
    </xf>
    <xf numFmtId="0" fontId="7" fillId="2" borderId="17" applyAlignment="1" pivotButton="0" quotePrefix="0" xfId="0">
      <alignment horizontal="center" vertical="center"/>
    </xf>
    <xf numFmtId="0" fontId="7" fillId="2" borderId="18" applyAlignment="1" pivotButton="0" quotePrefix="0" xfId="0">
      <alignment horizontal="center" vertical="center"/>
    </xf>
    <xf numFmtId="0" fontId="7" fillId="2" borderId="29" applyAlignment="1" pivotButton="0" quotePrefix="0" xfId="0">
      <alignment horizontal="center" vertical="center"/>
    </xf>
    <xf numFmtId="0" fontId="7" fillId="2" borderId="2" applyAlignment="1" pivotButton="0" quotePrefix="0" xfId="0">
      <alignment horizontal="center" vertical="center"/>
    </xf>
    <xf numFmtId="0" fontId="7" fillId="2" borderId="5" applyAlignment="1" pivotButton="0" quotePrefix="0" xfId="0">
      <alignment horizontal="center" vertical="center"/>
    </xf>
    <xf numFmtId="0" fontId="7" fillId="2" borderId="3" applyAlignment="1" pivotButton="0" quotePrefix="0" xfId="0">
      <alignment horizontal="center" vertical="center"/>
    </xf>
    <xf numFmtId="0" fontId="7" fillId="2" borderId="7" applyAlignment="1" pivotButton="0" quotePrefix="0" xfId="0">
      <alignment horizontal="center" vertical="center"/>
    </xf>
    <xf numFmtId="2" fontId="6" fillId="0" borderId="48" applyAlignment="1" applyProtection="1" pivotButton="0" quotePrefix="0" xfId="0">
      <alignment horizontal="center"/>
      <protection locked="0" hidden="0"/>
    </xf>
    <xf numFmtId="0" fontId="7" fillId="2" borderId="19" applyAlignment="1" pivotButton="0" quotePrefix="0" xfId="0">
      <alignment horizontal="left" vertical="center" wrapText="1"/>
    </xf>
    <xf numFmtId="0" fontId="7" fillId="2" borderId="20" applyAlignment="1" pivotButton="0" quotePrefix="0" xfId="0">
      <alignment horizontal="left" vertical="center" wrapText="1"/>
    </xf>
    <xf numFmtId="0" fontId="7" fillId="2" borderId="21" applyAlignment="1" pivotButton="0" quotePrefix="0" xfId="0">
      <alignment horizontal="left" vertical="center" wrapText="1"/>
    </xf>
    <xf numFmtId="0" fontId="6" fillId="2" borderId="48" applyAlignment="1" pivotButton="0" quotePrefix="0" xfId="0">
      <alignment horizontal="left" vertical="top"/>
    </xf>
    <xf numFmtId="0" fontId="6" fillId="0" borderId="8" applyAlignment="1" pivotButton="0" quotePrefix="0" xfId="0">
      <alignment vertical="center" wrapText="1"/>
    </xf>
    <xf numFmtId="0" fontId="6" fillId="0" borderId="10" applyAlignment="1" pivotButton="0" quotePrefix="0" xfId="0">
      <alignment vertical="center" wrapText="1"/>
    </xf>
    <xf numFmtId="0" fontId="6" fillId="0" borderId="9" applyAlignment="1" pivotButton="0" quotePrefix="0" xfId="0">
      <alignment vertical="center" wrapText="1"/>
    </xf>
    <xf numFmtId="0" fontId="6" fillId="0" borderId="42" applyAlignment="1" pivotButton="0" quotePrefix="0" xfId="0">
      <alignment horizontal="left"/>
    </xf>
    <xf numFmtId="0" fontId="6" fillId="0" borderId="0" applyAlignment="1" pivotButton="0" quotePrefix="0" xfId="0">
      <alignment horizontal="left"/>
    </xf>
    <xf numFmtId="0" fontId="6" fillId="0" borderId="43" applyAlignment="1" pivotButton="0" quotePrefix="0" xfId="0">
      <alignment horizontal="left"/>
    </xf>
    <xf numFmtId="0" fontId="6" fillId="0" borderId="41" applyAlignment="1" pivotButton="0" quotePrefix="0" xfId="0">
      <alignment horizontal="left"/>
    </xf>
    <xf numFmtId="0" fontId="6" fillId="0" borderId="37" applyAlignment="1" pivotButton="0" quotePrefix="0" xfId="0">
      <alignment horizontal="left"/>
    </xf>
    <xf numFmtId="0" fontId="6" fillId="0" borderId="38" applyAlignment="1" pivotButton="0" quotePrefix="0" xfId="0">
      <alignment horizontal="left"/>
    </xf>
    <xf numFmtId="0" fontId="6" fillId="0" borderId="40" applyAlignment="1" pivotButton="0" quotePrefix="0" xfId="0">
      <alignment horizontal="center"/>
    </xf>
    <xf numFmtId="0" fontId="6" fillId="0" borderId="36" applyAlignment="1" pivotButton="0" quotePrefix="0" xfId="0">
      <alignment horizontal="center"/>
    </xf>
    <xf numFmtId="0" fontId="6" fillId="0" borderId="0" applyAlignment="1" pivotButton="0" quotePrefix="0" xfId="0">
      <alignment horizontal="center"/>
    </xf>
    <xf numFmtId="0" fontId="6" fillId="0" borderId="43" applyAlignment="1" pivotButton="0" quotePrefix="0" xfId="0">
      <alignment horizontal="center"/>
    </xf>
    <xf numFmtId="0" fontId="6" fillId="0" borderId="41" applyAlignment="1" pivotButton="0" quotePrefix="0" xfId="0">
      <alignment horizontal="center"/>
    </xf>
    <xf numFmtId="0" fontId="6" fillId="0" borderId="37" applyAlignment="1" pivotButton="0" quotePrefix="0" xfId="0">
      <alignment horizontal="center"/>
    </xf>
    <xf numFmtId="0" fontId="6" fillId="0" borderId="38" applyAlignment="1" pivotButton="0" quotePrefix="0" xfId="0">
      <alignment horizontal="center"/>
    </xf>
    <xf numFmtId="0" fontId="6" fillId="2" borderId="13" applyAlignment="1" pivotButton="0" quotePrefix="0" xfId="0">
      <alignment horizontal="left" vertical="top" wrapText="1"/>
    </xf>
    <xf numFmtId="0" fontId="6" fillId="2" borderId="48" applyAlignment="1" pivotButton="0" quotePrefix="0" xfId="0">
      <alignment horizontal="left" vertical="top" wrapText="1"/>
    </xf>
    <xf numFmtId="2" fontId="6" fillId="0" borderId="47" applyAlignment="1" applyProtection="1" pivotButton="0" quotePrefix="0" xfId="0">
      <alignment horizontal="center"/>
      <protection locked="0" hidden="0"/>
    </xf>
    <xf numFmtId="0" fontId="6" fillId="0" borderId="8" applyAlignment="1" pivotButton="0" quotePrefix="0" xfId="0">
      <alignment horizontal="center"/>
    </xf>
    <xf numFmtId="0" fontId="6" fillId="0" borderId="10" applyAlignment="1" pivotButton="0" quotePrefix="0" xfId="0">
      <alignment horizontal="center"/>
    </xf>
    <xf numFmtId="0" fontId="6" fillId="0" borderId="9" applyAlignment="1" pivotButton="0" quotePrefix="0" xfId="0">
      <alignment horizontal="center"/>
    </xf>
    <xf numFmtId="10" fontId="6" fillId="2" borderId="13" applyAlignment="1" pivotButton="0" quotePrefix="0" xfId="0">
      <alignment horizontal="left" vertical="top"/>
    </xf>
    <xf numFmtId="0" fontId="6" fillId="2" borderId="13" applyAlignment="1" pivotButton="0" quotePrefix="0" xfId="0">
      <alignment vertical="top"/>
    </xf>
    <xf numFmtId="0" fontId="6" fillId="2" borderId="13" applyAlignment="1" pivotButton="0" quotePrefix="0" xfId="0">
      <alignment horizontal="center"/>
    </xf>
    <xf numFmtId="0" fontId="6" fillId="2" borderId="48" applyAlignment="1" pivotButton="0" quotePrefix="0" xfId="0">
      <alignment horizontal="center"/>
    </xf>
    <xf numFmtId="0" fontId="6" fillId="0" borderId="44" applyAlignment="1" pivotButton="0" quotePrefix="0" xfId="0">
      <alignment horizontal="center" vertical="center"/>
    </xf>
    <xf numFmtId="0" fontId="6" fillId="0" borderId="46" applyAlignment="1" pivotButton="0" quotePrefix="0" xfId="0">
      <alignment horizontal="center" vertical="center"/>
    </xf>
    <xf numFmtId="0" fontId="6" fillId="0" borderId="45" applyAlignment="1" pivotButton="0" quotePrefix="0" xfId="0">
      <alignment horizontal="center" vertical="center"/>
    </xf>
    <xf numFmtId="2" fontId="6" fillId="0" borderId="14" applyAlignment="1" applyProtection="1" pivotButton="0" quotePrefix="0" xfId="0">
      <alignment horizontal="center"/>
      <protection locked="0" hidden="0"/>
    </xf>
    <xf numFmtId="0" fontId="14" fillId="0" borderId="4" applyAlignment="1" pivotButton="0" quotePrefix="0" xfId="0">
      <alignment horizontal="center" vertical="top" wrapText="1"/>
    </xf>
    <xf numFmtId="164" fontId="13" fillId="0" borderId="4" applyAlignment="1" pivotButton="0" quotePrefix="0" xfId="1">
      <alignment horizontal="center" vertical="top" wrapText="1"/>
    </xf>
    <xf numFmtId="164" fontId="13" fillId="0" borderId="8" applyAlignment="1" pivotButton="0" quotePrefix="0" xfId="1">
      <alignment horizontal="center" vertical="top" wrapText="1"/>
    </xf>
    <xf numFmtId="2" fontId="14" fillId="0" borderId="8" applyAlignment="1" pivotButton="0" quotePrefix="0" xfId="0">
      <alignment horizontal="center" vertical="top" wrapText="1"/>
    </xf>
    <xf numFmtId="2" fontId="14" fillId="0" borderId="9" applyAlignment="1" pivotButton="0" quotePrefix="0" xfId="0">
      <alignment horizontal="center" vertical="top" wrapText="1"/>
    </xf>
    <xf numFmtId="2" fontId="14" fillId="0" borderId="4" applyAlignment="1" pivotButton="0" quotePrefix="0" xfId="0">
      <alignment horizontal="center" vertical="top" wrapText="1"/>
    </xf>
    <xf numFmtId="0" fontId="10" fillId="0" borderId="8" applyAlignment="1" pivotButton="0" quotePrefix="0" xfId="0">
      <alignment horizontal="center" vertical="center"/>
    </xf>
    <xf numFmtId="0" fontId="10" fillId="0" borderId="9" applyAlignment="1" pivotButton="0" quotePrefix="0" xfId="0">
      <alignment horizontal="center" vertical="center"/>
    </xf>
    <xf numFmtId="0" fontId="15" fillId="0" borderId="0" pivotButton="0" quotePrefix="0" xfId="0"/>
    <xf numFmtId="0" fontId="16" fillId="4" borderId="63" pivotButton="0" quotePrefix="0" xfId="0"/>
    <xf numFmtId="0" fontId="0" fillId="0" borderId="63" pivotButton="0" quotePrefix="0" xfId="0"/>
    <xf numFmtId="0" fontId="0" fillId="0" borderId="63" applyProtection="1" pivotButton="0" quotePrefix="0" xfId="0">
      <protection locked="0" hidden="0"/>
    </xf>
    <xf numFmtId="10" fontId="0" fillId="0" borderId="63" applyProtection="1" pivotButton="0" quotePrefix="0" xfId="0">
      <protection locked="0" hidden="0"/>
    </xf>
    <xf numFmtId="10" fontId="0" fillId="0" borderId="63" pivotButton="0" quotePrefix="0" xfId="0"/>
    <xf numFmtId="0" fontId="17" fillId="0" borderId="0" pivotButton="0" quotePrefix="0" xfId="0"/>
    <xf numFmtId="0" fontId="18" fillId="5" borderId="0" pivotButton="0" quotePrefix="0" xfId="0"/>
    <xf numFmtId="0" fontId="0" fillId="0" borderId="0" applyAlignment="1" pivotButton="0" quotePrefix="0" xfId="0">
      <alignment wrapText="1"/>
    </xf>
    <xf numFmtId="0" fontId="5" fillId="2" borderId="4" applyAlignment="1" applyProtection="1" pivotButton="0" quotePrefix="0" xfId="0">
      <alignment horizontal="left"/>
      <protection locked="0" hidden="0"/>
    </xf>
    <xf numFmtId="0" fontId="0" fillId="0" borderId="10" applyProtection="1" pivotButton="0" quotePrefix="0" xfId="0">
      <protection locked="0" hidden="0"/>
    </xf>
    <xf numFmtId="0" fontId="0" fillId="0" borderId="9" applyProtection="1" pivotButton="0" quotePrefix="0" xfId="0">
      <protection locked="0" hidden="0"/>
    </xf>
    <xf numFmtId="0" fontId="6" fillId="0" borderId="4" applyAlignment="1" pivotButton="0" quotePrefix="0" xfId="0">
      <alignment horizontal="center"/>
    </xf>
    <xf numFmtId="0" fontId="0" fillId="0" borderId="10" pivotButton="0" quotePrefix="0" xfId="0"/>
    <xf numFmtId="0" fontId="0" fillId="0" borderId="9" pivotButton="0" quotePrefix="0" xfId="0"/>
    <xf numFmtId="0" fontId="7" fillId="2" borderId="4" applyAlignment="1" pivotButton="0" quotePrefix="0" xfId="0">
      <alignment horizontal="center" vertical="center" wrapText="1"/>
    </xf>
    <xf numFmtId="0" fontId="0" fillId="0" borderId="5" pivotButton="0" quotePrefix="0" xfId="0"/>
    <xf numFmtId="0" fontId="7" fillId="2" borderId="4" applyAlignment="1" pivotButton="0" quotePrefix="0" xfId="0">
      <alignment horizontal="center" vertical="center"/>
    </xf>
    <xf numFmtId="0" fontId="0" fillId="0" borderId="3" pivotButton="0" quotePrefix="0" xfId="0"/>
    <xf numFmtId="0" fontId="0" fillId="0" borderId="7" pivotButton="0" quotePrefix="0" xfId="0"/>
    <xf numFmtId="0" fontId="0" fillId="0" borderId="50" applyProtection="1" pivotButton="0" quotePrefix="0" xfId="0">
      <protection locked="0" hidden="0"/>
    </xf>
    <xf numFmtId="0" fontId="0" fillId="0" borderId="13" pivotButton="0" quotePrefix="0" xfId="0"/>
    <xf numFmtId="0" fontId="0" fillId="0" borderId="13" applyProtection="1" pivotButton="0" quotePrefix="0" xfId="0">
      <protection locked="0" hidden="0"/>
    </xf>
    <xf numFmtId="0" fontId="0" fillId="0" borderId="1" pivotButton="0" quotePrefix="0" xfId="0"/>
    <xf numFmtId="2" fontId="6" fillId="0" borderId="54" applyAlignment="1" applyProtection="1" pivotButton="0" quotePrefix="0" xfId="0">
      <alignment horizontal="center"/>
      <protection locked="0" hidden="0"/>
    </xf>
    <xf numFmtId="0" fontId="0" fillId="0" borderId="48" pivotButton="0" quotePrefix="0" xfId="0"/>
    <xf numFmtId="0" fontId="0" fillId="0" borderId="14" applyProtection="1" pivotButton="0" quotePrefix="0" xfId="0">
      <protection locked="0" hidden="0"/>
    </xf>
    <xf numFmtId="0" fontId="0" fillId="0" borderId="48" applyProtection="1" pivotButton="0" quotePrefix="0" xfId="0">
      <protection locked="0" hidden="0"/>
    </xf>
    <xf numFmtId="0" fontId="6" fillId="0" borderId="35" applyAlignment="1" pivotButton="0" quotePrefix="0" xfId="0">
      <alignment horizontal="center" vertical="center"/>
    </xf>
    <xf numFmtId="0" fontId="0" fillId="0" borderId="46" pivotButton="0" quotePrefix="0" xfId="0"/>
    <xf numFmtId="0" fontId="0" fillId="0" borderId="45" pivotButton="0" quotePrefix="0" xfId="0"/>
    <xf numFmtId="0" fontId="6" fillId="0" borderId="45" applyAlignment="1" pivotButton="0" quotePrefix="0" xfId="0">
      <alignment horizontal="center"/>
    </xf>
    <xf numFmtId="0" fontId="0" fillId="0" borderId="40" pivotButton="0" quotePrefix="0" xfId="0"/>
    <xf numFmtId="0" fontId="0" fillId="0" borderId="36" pivotButton="0" quotePrefix="0" xfId="0"/>
    <xf numFmtId="0" fontId="6" fillId="0" borderId="53" applyAlignment="1" pivotButton="0" quotePrefix="0" xfId="0">
      <alignment horizontal="left"/>
    </xf>
    <xf numFmtId="0" fontId="0" fillId="0" borderId="43" pivotButton="0" quotePrefix="0" xfId="0"/>
    <xf numFmtId="0" fontId="0" fillId="0" borderId="42" pivotButton="0" quotePrefix="0" xfId="0"/>
    <xf numFmtId="0" fontId="0" fillId="0" borderId="41" pivotButton="0" quotePrefix="0" xfId="0"/>
    <xf numFmtId="0" fontId="0" fillId="0" borderId="37" pivotButton="0" quotePrefix="0" xfId="0"/>
    <xf numFmtId="0" fontId="0" fillId="0" borderId="38" pivotButton="0" quotePrefix="0" xfId="0"/>
    <xf numFmtId="0" fontId="0" fillId="0" borderId="51" pivotButton="0" quotePrefix="0" xfId="0"/>
    <xf numFmtId="0" fontId="0" fillId="0" borderId="55" pivotButton="0" quotePrefix="0" xfId="0"/>
    <xf numFmtId="0" fontId="0" fillId="0" borderId="49" pivotButton="0" quotePrefix="0" xfId="0"/>
    <xf numFmtId="0" fontId="0" fillId="0" borderId="61" pivotButton="0" quotePrefix="0" xfId="0"/>
    <xf numFmtId="0" fontId="6" fillId="0" borderId="4" applyAlignment="1" pivotButton="0" quotePrefix="0" xfId="0">
      <alignment horizontal="left" vertical="center" wrapText="1"/>
    </xf>
    <xf numFmtId="0" fontId="6" fillId="0" borderId="4" applyAlignment="1" pivotButton="0" quotePrefix="0" xfId="0">
      <alignment vertical="center" wrapText="1"/>
    </xf>
    <xf numFmtId="0" fontId="0" fillId="0" borderId="59" pivotButton="0" quotePrefix="0" xfId="0"/>
    <xf numFmtId="0" fontId="0" fillId="0" borderId="60" pivotButton="0" quotePrefix="0" xfId="0"/>
    <xf numFmtId="0" fontId="7" fillId="2" borderId="12" applyAlignment="1" pivotButton="0" quotePrefix="0" xfId="0">
      <alignment horizontal="left" vertical="center" wrapText="1"/>
    </xf>
    <xf numFmtId="0" fontId="0" fillId="0" borderId="20" pivotButton="0" quotePrefix="0" xfId="0"/>
    <xf numFmtId="0" fontId="0" fillId="0" borderId="21" pivotButton="0" quotePrefix="0" xfId="0"/>
    <xf numFmtId="0" fontId="0" fillId="0" borderId="62" pivotButton="0" quotePrefix="0" xfId="0"/>
    <xf numFmtId="0" fontId="0" fillId="0" borderId="56" pivotButton="0" quotePrefix="0" xfId="0"/>
    <xf numFmtId="0" fontId="0" fillId="0" borderId="57" pivotButton="0" quotePrefix="0" xfId="0"/>
    <xf numFmtId="164" fontId="13" fillId="0" borderId="4" applyAlignment="1" pivotButton="0" quotePrefix="0" xfId="1">
      <alignment horizontal="center" vertical="top" wrapText="1"/>
    </xf>
    <xf numFmtId="0" fontId="10" fillId="0" borderId="4" applyAlignment="1" pivotButton="0" quotePrefix="0" xfId="0">
      <alignment horizontal="center" vertical="center"/>
    </xf>
  </cellXfs>
  <cellStyles count="2">
    <cellStyle name="Normal" xfId="0" builtinId="0"/>
    <cellStyle name="Comma" xfId="1" builtinId="3"/>
  </cellStyle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styles" Target="styles.xml" Id="rId14" /><Relationship Type="http://schemas.openxmlformats.org/officeDocument/2006/relationships/theme" Target="theme/theme1.xml" Id="rId15" /><Relationship Type="http://schemas.microsoft.com/office/2006/relationships/vbaProject" Target="vbaProject.bin" Id="rId16" /></Relationships>
</file>

<file path=xl/tables/table1.xml><?xml version="1.0" encoding="utf-8"?>
<table xmlns="http://schemas.openxmlformats.org/spreadsheetml/2006/main" id="1" name="TermOptions" displayName="TermOptions" ref="A3:B9" headerRowCount="1">
  <autoFilter ref="A3:B9"/>
  <tableColumns count="2">
    <tableColumn id="1" name="Term"/>
    <tableColumn id="2" name="AddOnPct"/>
  </tableColumns>
  <tableStyleInfo name="TableStyleMedium2" showFirstColumn="0" showLastColumn="0" showRowStripes="1" showColumnStripes="0"/>
</table>
</file>

<file path=xl/tables/table2.xml><?xml version="1.0" encoding="utf-8"?>
<table xmlns="http://schemas.openxmlformats.org/spreadsheetml/2006/main" id="2" name="BeaconOptions" displayName="BeaconOptions" ref="D3:E9" headerRowCount="1">
  <autoFilter ref="D3:E9"/>
  <tableColumns count="2">
    <tableColumn id="4" name="BeaconBand"/>
    <tableColumn id="5" name="AddOnPct"/>
  </tableColumns>
  <tableStyleInfo name="TableStyleMedium2" showFirstColumn="0" showLastColumn="0" showRowStripes="1" showColumnStripes="0"/>
</table>
</file>

<file path=xl/tables/table3.xml><?xml version="1.0" encoding="utf-8"?>
<table xmlns="http://schemas.openxmlformats.org/spreadsheetml/2006/main" id="3" name="CollateralOptions" displayName="CollateralOptions" ref="A14:B20" headerRowCount="1">
  <autoFilter ref="A14:B20"/>
  <tableColumns count="2">
    <tableColumn id="1" name="CollateralType"/>
    <tableColumn id="2" name="AddOnPct"/>
  </tableColumns>
  <tableStyleInfo name="TableStyleMedium2" showFirstColumn="0" showLastColumn="0" showRowStripes="1" showColumnStripes="0"/>
</table>
</file>

<file path=xl/tables/table4.xml><?xml version="1.0" encoding="utf-8"?>
<table xmlns="http://schemas.openxmlformats.org/spreadsheetml/2006/main" id="4" name="TDSROptions" displayName="TDSROptions" ref="D14:E20" headerRowCount="1">
  <autoFilter ref="D14:E20"/>
  <tableColumns count="2">
    <tableColumn id="4" name="TDSRBand"/>
    <tableColumn id="5" name="AddOnPct"/>
  </tableColumns>
  <tableStyleInfo name="TableStyleMedium2" showFirstColumn="0" showLastColumn="0" showRowStripes="1" showColumnStripes="0"/>
</table>
</file>

<file path=xl/tables/table5.xml><?xml version="1.0" encoding="utf-8"?>
<table xmlns="http://schemas.openxmlformats.org/spreadsheetml/2006/main" id="5" name="JobStabilityOptions" displayName="JobStabilityOptions" ref="A25:B29" headerRowCount="1">
  <autoFilter ref="A25:B29"/>
  <tableColumns count="2">
    <tableColumn id="1" name="JobStabilityBand"/>
    <tableColumn id="2" name="AddOnPct"/>
  </tableColumns>
  <tableStyleInfo name="TableStyleMedium2" showFirstColumn="0" showLastColumn="0" showRowStripes="1" showColumnStripes="0"/>
</table>
</file>

<file path=xl/tables/table6.xml><?xml version="1.0" encoding="utf-8"?>
<table xmlns="http://schemas.openxmlformats.org/spreadsheetml/2006/main" id="6" name="ServiceOptions" displayName="ServiceOptions" ref="D25:E29" headerRowCount="1">
  <autoFilter ref="D25:E29"/>
  <tableColumns count="2">
    <tableColumn id="4" name="ServiceBand"/>
    <tableColumn id="5" name="AddOnPct"/>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Relationships xmlns="http://schemas.openxmlformats.org/package/2006/relationships"><Relationship Type="http://schemas.openxmlformats.org/officeDocument/2006/relationships/table" Target="/xl/tables/table1.xml" Id="rId1" /><Relationship Type="http://schemas.openxmlformats.org/officeDocument/2006/relationships/table" Target="/xl/tables/table2.xml" Id="rId2" /><Relationship Type="http://schemas.openxmlformats.org/officeDocument/2006/relationships/table" Target="/xl/tables/table3.xml" Id="rId3" /><Relationship Type="http://schemas.openxmlformats.org/officeDocument/2006/relationships/table" Target="/xl/tables/table4.xml" Id="rId4" /><Relationship Type="http://schemas.openxmlformats.org/officeDocument/2006/relationships/table" Target="/xl/tables/table5.xml" Id="rId5" /><Relationship Type="http://schemas.openxmlformats.org/officeDocument/2006/relationships/table" Target="/xl/tables/table6.xml" Id="rId6" /></Relationships>
</file>

<file path=xl/worksheets/sheet1.xml><?xml version="1.0" encoding="utf-8"?>
<worksheet xmlns="http://schemas.openxmlformats.org/spreadsheetml/2006/main">
  <sheetPr>
    <outlinePr summaryBelow="1" summaryRight="1"/>
    <pageSetUpPr/>
  </sheetPr>
  <dimension ref="A1:D10"/>
  <sheetViews>
    <sheetView workbookViewId="0">
      <selection activeCell="A1" sqref="A1"/>
    </sheetView>
  </sheetViews>
  <sheetFormatPr baseColWidth="8" defaultRowHeight="15"/>
  <cols>
    <col width="26" customWidth="1" min="1" max="1"/>
    <col width="34" customWidth="1" min="2" max="2"/>
    <col width="34" customWidth="1" min="3" max="3"/>
    <col width="14" customWidth="1" min="4" max="4"/>
  </cols>
  <sheetData>
    <row r="1">
      <c r="A1" s="130" t="inlineStr">
        <is>
          <t>Rate Matrix Inputs (Editable)</t>
        </is>
      </c>
    </row>
    <row r="3">
      <c r="A3" s="131" t="inlineStr">
        <is>
          <t>Input Field</t>
        </is>
      </c>
      <c r="B3" s="131" t="inlineStr">
        <is>
          <t>Selection</t>
        </is>
      </c>
      <c r="C3" s="131" t="inlineStr">
        <is>
          <t>Notes</t>
        </is>
      </c>
      <c r="D3" s="131" t="inlineStr">
        <is>
          <t>Status</t>
        </is>
      </c>
    </row>
    <row r="4">
      <c r="A4" s="132" t="inlineStr">
        <is>
          <t>Loan Term</t>
        </is>
      </c>
      <c r="B4" s="133" t="inlineStr">
        <is>
          <t>Variable</t>
        </is>
      </c>
      <c r="C4" s="132" t="inlineStr">
        <is>
          <t>Select term from list</t>
        </is>
      </c>
      <c r="D4" s="132">
        <f>IF(B4="","Missing","OK")</f>
        <v/>
      </c>
    </row>
    <row r="5">
      <c r="A5" s="132" t="inlineStr">
        <is>
          <t>Beacon Score Band</t>
        </is>
      </c>
      <c r="B5" s="133" t="inlineStr">
        <is>
          <t>Over 700</t>
        </is>
      </c>
      <c r="C5" s="132" t="inlineStr">
        <is>
          <t>Select credit band</t>
        </is>
      </c>
      <c r="D5" s="132">
        <f>IF(B5="","Missing","OK")</f>
        <v/>
      </c>
    </row>
    <row r="6">
      <c r="A6" s="132" t="inlineStr">
        <is>
          <t>Collateral Type</t>
        </is>
      </c>
      <c r="B6" s="133" t="inlineStr">
        <is>
          <t>None</t>
        </is>
      </c>
      <c r="C6" s="132" t="inlineStr">
        <is>
          <t>Select collateral class</t>
        </is>
      </c>
      <c r="D6" s="132">
        <f>IF(B6="","Missing","OK")</f>
        <v/>
      </c>
    </row>
    <row r="7">
      <c r="A7" s="132" t="inlineStr">
        <is>
          <t>TDSR Band</t>
        </is>
      </c>
      <c r="B7" s="133" t="inlineStr">
        <is>
          <t>&lt; 20%</t>
        </is>
      </c>
      <c r="C7" s="132" t="inlineStr">
        <is>
          <t>Select debt ratio band</t>
        </is>
      </c>
      <c r="D7" s="132">
        <f>IF(B7="","Missing","OK")</f>
        <v/>
      </c>
    </row>
    <row r="8">
      <c r="A8" s="132" t="inlineStr">
        <is>
          <t>Job Stability Band</t>
        </is>
      </c>
      <c r="B8" s="133" t="inlineStr">
        <is>
          <t>Over 8 years</t>
        </is>
      </c>
      <c r="C8" s="132" t="inlineStr">
        <is>
          <t>Select tenure band</t>
        </is>
      </c>
      <c r="D8" s="132">
        <f>IF(B8="","Missing","OK")</f>
        <v/>
      </c>
    </row>
    <row r="9">
      <c r="A9" s="132" t="inlineStr">
        <is>
          <t>Member Services Band</t>
        </is>
      </c>
      <c r="B9" s="133" t="inlineStr">
        <is>
          <t>4+ and Day to Day Account</t>
        </is>
      </c>
      <c r="C9" s="132" t="inlineStr">
        <is>
          <t>Select services band</t>
        </is>
      </c>
      <c r="D9" s="132">
        <f>IF(B9="","Missing","OK")</f>
        <v/>
      </c>
    </row>
    <row r="10">
      <c r="A10" s="132" t="inlineStr">
        <is>
          <t>Base Rate %</t>
        </is>
      </c>
      <c r="B10" s="134" t="n">
        <v>0</v>
      </c>
      <c r="C10" s="132" t="inlineStr">
        <is>
          <t>Overall input status</t>
        </is>
      </c>
      <c r="D10" s="132">
        <f>IF(AND(D4="OK",D5="OK",D6="OK",D7="OK",D8="OK",D9="OK"),"Ready","Review")</f>
        <v/>
      </c>
    </row>
  </sheetData>
  <sheetProtection selectLockedCells="0" selectUnlockedCells="0" sheet="1" objects="0" insertRows="0" insertHyperlinks="1" autoFilter="1" scenarios="0" formatColumns="1" deleteColumns="1" insertColumns="0" pivotTables="1" deleteRows="1" formatCells="0" formatRows="1" sort="1"/>
  <mergeCells count="1">
    <mergeCell ref="A1:D1"/>
  </mergeCells>
  <dataValidations count="6">
    <dataValidation sqref="B4" showDropDown="0" showInputMessage="0" showErrorMessage="1" allowBlank="0" errorTitle="Invalid selection" error="Choose a value from the dropdown list." type="list">
      <formula1>=INDIRECT("TermOptions[Term]")</formula1>
    </dataValidation>
    <dataValidation sqref="B5" showDropDown="0" showInputMessage="0" showErrorMessage="1" allowBlank="0" errorTitle="Invalid selection" error="Choose a value from the dropdown list." type="list">
      <formula1>=INDIRECT("BeaconOptions[BeaconBand]")</formula1>
    </dataValidation>
    <dataValidation sqref="B6" showDropDown="0" showInputMessage="0" showErrorMessage="1" allowBlank="0" errorTitle="Invalid selection" error="Choose a value from the dropdown list." type="list">
      <formula1>=INDIRECT("CollateralOptions[CollateralType]")</formula1>
    </dataValidation>
    <dataValidation sqref="B7" showDropDown="0" showInputMessage="0" showErrorMessage="1" allowBlank="0" errorTitle="Invalid selection" error="Choose a value from the dropdown list." type="list">
      <formula1>=INDIRECT("TDSROptions[TDSRBand]")</formula1>
    </dataValidation>
    <dataValidation sqref="B8" showDropDown="0" showInputMessage="0" showErrorMessage="1" allowBlank="0" errorTitle="Invalid selection" error="Choose a value from the dropdown list." type="list">
      <formula1>=INDIRECT("JobStabilityOptions[JobStabilityBand]")</formula1>
    </dataValidation>
    <dataValidation sqref="B9" showDropDown="0" showInputMessage="0" showErrorMessage="1" allowBlank="0" errorTitle="Invalid selection" error="Choose a value from the dropdown list." type="list">
      <formula1>=INDIRECT("ServiceOptions[ServiceBand]")</formula1>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F29"/>
  <sheetViews>
    <sheetView workbookViewId="0">
      <selection activeCell="A1" sqref="A1"/>
    </sheetView>
  </sheetViews>
  <sheetFormatPr baseColWidth="8" defaultRowHeight="15"/>
  <cols>
    <col width="34" customWidth="1" min="1" max="1"/>
    <col width="12" customWidth="1" min="2" max="2"/>
    <col width="3" customWidth="1" min="3" max="3"/>
    <col width="34" customWidth="1" min="4" max="4"/>
    <col width="12" customWidth="1" min="5" max="5"/>
    <col width="3" customWidth="1" min="6" max="6"/>
  </cols>
  <sheetData>
    <row r="1">
      <c r="A1" s="130" t="inlineStr">
        <is>
          <t>Rate Matrix Lookup Tables (v2)</t>
        </is>
      </c>
    </row>
    <row r="3">
      <c r="A3" s="131" t="inlineStr">
        <is>
          <t>Term</t>
        </is>
      </c>
      <c r="B3" s="131" t="inlineStr">
        <is>
          <t>AddOnPct</t>
        </is>
      </c>
      <c r="D3" s="131" t="inlineStr">
        <is>
          <t>BeaconBand</t>
        </is>
      </c>
      <c r="E3" s="131" t="inlineStr">
        <is>
          <t>AddOnPct</t>
        </is>
      </c>
    </row>
    <row r="4">
      <c r="A4" s="132" t="inlineStr">
        <is>
          <t>Variable</t>
        </is>
      </c>
      <c r="B4" s="135" t="n">
        <v>0</v>
      </c>
      <c r="D4" s="132" t="inlineStr">
        <is>
          <t>Over 700</t>
        </is>
      </c>
      <c r="E4" s="135" t="n">
        <v>0.25</v>
      </c>
    </row>
    <row r="5">
      <c r="A5" s="132" t="inlineStr">
        <is>
          <t>1 year</t>
        </is>
      </c>
      <c r="B5" s="135" t="n">
        <v>2</v>
      </c>
      <c r="D5" s="132" t="inlineStr">
        <is>
          <t>650-699</t>
        </is>
      </c>
      <c r="E5" s="135" t="n">
        <v>0.5</v>
      </c>
    </row>
    <row r="6">
      <c r="A6" s="132" t="inlineStr">
        <is>
          <t>2 years</t>
        </is>
      </c>
      <c r="B6" s="135" t="n">
        <v>2</v>
      </c>
      <c r="D6" s="132" t="inlineStr">
        <is>
          <t>620-649</t>
        </is>
      </c>
      <c r="E6" s="135" t="n">
        <v>1.5</v>
      </c>
    </row>
    <row r="7">
      <c r="A7" s="132" t="inlineStr">
        <is>
          <t>3 years</t>
        </is>
      </c>
      <c r="B7" s="135" t="n">
        <v>2.25</v>
      </c>
      <c r="D7" s="132" t="inlineStr">
        <is>
          <t>600-619</t>
        </is>
      </c>
      <c r="E7" s="135" t="n">
        <v>2</v>
      </c>
    </row>
    <row r="8">
      <c r="A8" s="132" t="inlineStr">
        <is>
          <t>4 years</t>
        </is>
      </c>
      <c r="B8" s="135" t="n">
        <v>2.5</v>
      </c>
      <c r="D8" s="132" t="inlineStr">
        <is>
          <t>500-599</t>
        </is>
      </c>
      <c r="E8" s="135" t="n">
        <v>4</v>
      </c>
    </row>
    <row r="9">
      <c r="A9" s="132" t="inlineStr">
        <is>
          <t>5 years</t>
        </is>
      </c>
      <c r="B9" s="135" t="n">
        <v>2.75</v>
      </c>
      <c r="D9" s="132" t="inlineStr">
        <is>
          <t>Under 499</t>
        </is>
      </c>
      <c r="E9" s="135" t="n">
        <v>7</v>
      </c>
    </row>
    <row r="14">
      <c r="A14" s="131" t="inlineStr">
        <is>
          <t>CollateralType</t>
        </is>
      </c>
      <c r="B14" s="131" t="inlineStr">
        <is>
          <t>AddOnPct</t>
        </is>
      </c>
      <c r="D14" s="131" t="inlineStr">
        <is>
          <t>TDSRBand</t>
        </is>
      </c>
      <c r="E14" s="131" t="inlineStr">
        <is>
          <t>AddOnPct</t>
        </is>
      </c>
    </row>
    <row r="15">
      <c r="A15" s="132" t="inlineStr">
        <is>
          <t>None</t>
        </is>
      </c>
      <c r="B15" s="135" t="n">
        <v>0</v>
      </c>
      <c r="D15" s="132" t="inlineStr">
        <is>
          <t>&lt; 20%</t>
        </is>
      </c>
      <c r="E15" s="135" t="n">
        <v>0.25</v>
      </c>
    </row>
    <row r="16">
      <c r="A16" s="132" t="inlineStr">
        <is>
          <t>CUFM Securities Monitored</t>
        </is>
      </c>
      <c r="B16" s="135" t="n">
        <v>0.25</v>
      </c>
      <c r="D16" s="132" t="inlineStr">
        <is>
          <t>20% to 24.9%</t>
        </is>
      </c>
      <c r="E16" s="135" t="n">
        <v>0.35</v>
      </c>
    </row>
    <row r="17">
      <c r="A17" s="132" t="inlineStr">
        <is>
          <t>Motor Vehicle: New-3 Yrs</t>
        </is>
      </c>
      <c r="B17" s="135" t="n">
        <v>0.5</v>
      </c>
      <c r="D17" s="132" t="inlineStr">
        <is>
          <t>25% to 29.9%</t>
        </is>
      </c>
      <c r="E17" s="135" t="n">
        <v>0.5</v>
      </c>
    </row>
    <row r="18">
      <c r="A18" s="132" t="inlineStr">
        <is>
          <t>Motor Vehicle: 4-5 Yrs</t>
        </is>
      </c>
      <c r="B18" s="135" t="n">
        <v>0.75</v>
      </c>
      <c r="D18" s="132" t="inlineStr">
        <is>
          <t>30% to 35%</t>
        </is>
      </c>
      <c r="E18" s="135" t="n">
        <v>0.75</v>
      </c>
    </row>
    <row r="19">
      <c r="A19" s="132" t="inlineStr">
        <is>
          <t>Motor Vehicle: &gt;5 Yrs</t>
        </is>
      </c>
      <c r="B19" s="135" t="n">
        <v>1</v>
      </c>
      <c r="D19" s="132" t="inlineStr">
        <is>
          <t>35% to 39.9%</t>
        </is>
      </c>
      <c r="E19" s="135" t="n">
        <v>1</v>
      </c>
    </row>
    <row r="20">
      <c r="A20" s="132" t="inlineStr">
        <is>
          <t>Unsecured</t>
        </is>
      </c>
      <c r="B20" s="135" t="n">
        <v>2</v>
      </c>
      <c r="D20" s="132" t="inlineStr">
        <is>
          <t>Over 40%</t>
        </is>
      </c>
      <c r="E20" s="135" t="n">
        <v>1.25</v>
      </c>
    </row>
    <row r="25">
      <c r="A25" s="131" t="inlineStr">
        <is>
          <t>JobStabilityBand</t>
        </is>
      </c>
      <c r="B25" s="131" t="inlineStr">
        <is>
          <t>AddOnPct</t>
        </is>
      </c>
      <c r="D25" s="131" t="inlineStr">
        <is>
          <t>ServiceBand</t>
        </is>
      </c>
      <c r="E25" s="131" t="inlineStr">
        <is>
          <t>AddOnPct</t>
        </is>
      </c>
    </row>
    <row r="26">
      <c r="A26" s="132" t="inlineStr">
        <is>
          <t>Over 8 years</t>
        </is>
      </c>
      <c r="B26" s="135" t="n">
        <v>0</v>
      </c>
      <c r="D26" s="132" t="inlineStr">
        <is>
          <t>4+ and Day to Day Account</t>
        </is>
      </c>
      <c r="E26" s="135" t="n">
        <v>0</v>
      </c>
    </row>
    <row r="27">
      <c r="A27" s="132" t="inlineStr">
        <is>
          <t>5yrs to 8yrs</t>
        </is>
      </c>
      <c r="B27" s="135" t="n">
        <v>0.25</v>
      </c>
      <c r="D27" s="132" t="inlineStr">
        <is>
          <t>4 or more</t>
        </is>
      </c>
      <c r="E27" s="135" t="n">
        <v>0.15</v>
      </c>
    </row>
    <row r="28">
      <c r="A28" s="132" t="inlineStr">
        <is>
          <t>2yrs to 5yrs</t>
        </is>
      </c>
      <c r="B28" s="135" t="n">
        <v>0.5</v>
      </c>
      <c r="D28" s="132" t="inlineStr">
        <is>
          <t>1 to 3</t>
        </is>
      </c>
      <c r="E28" s="135" t="n">
        <v>0.25</v>
      </c>
    </row>
    <row r="29">
      <c r="A29" s="132" t="inlineStr">
        <is>
          <t>Less than 2 yrs</t>
        </is>
      </c>
      <c r="B29" s="135" t="n">
        <v>0.75</v>
      </c>
      <c r="D29" s="132" t="inlineStr">
        <is>
          <t>No services</t>
        </is>
      </c>
      <c r="E29" s="135" t="n">
        <v>0.5</v>
      </c>
    </row>
  </sheetData>
  <mergeCells count="1">
    <mergeCell ref="A1:F1"/>
  </mergeCells>
  <pageMargins left="0.75" right="0.75" top="1" bottom="1" header="0.5" footer="0.5"/>
  <tableParts count="6">
    <tablePart xmlns:r="http://schemas.openxmlformats.org/officeDocument/2006/relationships" r:id="rId1"/>
    <tablePart xmlns:r="http://schemas.openxmlformats.org/officeDocument/2006/relationships" r:id="rId2"/>
    <tablePart xmlns:r="http://schemas.openxmlformats.org/officeDocument/2006/relationships" r:id="rId3"/>
    <tablePart xmlns:r="http://schemas.openxmlformats.org/officeDocument/2006/relationships" r:id="rId4"/>
    <tablePart xmlns:r="http://schemas.openxmlformats.org/officeDocument/2006/relationships" r:id="rId5"/>
    <tablePart xmlns:r="http://schemas.openxmlformats.org/officeDocument/2006/relationships" r:id="rId6"/>
  </tableParts>
</worksheet>
</file>

<file path=xl/worksheets/sheet3.xml><?xml version="1.0" encoding="utf-8"?>
<worksheet xmlns="http://schemas.openxmlformats.org/spreadsheetml/2006/main">
  <sheetPr>
    <outlinePr summaryBelow="1" summaryRight="1"/>
    <pageSetUpPr/>
  </sheetPr>
  <dimension ref="A1:D20"/>
  <sheetViews>
    <sheetView workbookViewId="0">
      <selection activeCell="A1" sqref="A1"/>
    </sheetView>
  </sheetViews>
  <sheetFormatPr baseColWidth="8" defaultRowHeight="15"/>
  <cols>
    <col width="22" customWidth="1" min="1" max="1"/>
    <col width="34" customWidth="1" min="2" max="2"/>
    <col width="14" customWidth="1" min="3" max="3"/>
    <col width="36" customWidth="1" min="4" max="4"/>
  </cols>
  <sheetData>
    <row r="1">
      <c r="A1" s="130" t="inlineStr">
        <is>
          <t>Centralized Calculation Engine</t>
        </is>
      </c>
    </row>
    <row r="2"/>
    <row r="3">
      <c r="A3" s="131" t="inlineStr">
        <is>
          <t>Component</t>
        </is>
      </c>
      <c r="B3" s="131" t="inlineStr">
        <is>
          <t>Selected Value</t>
        </is>
      </c>
      <c r="C3" s="131" t="inlineStr">
        <is>
          <t>AddOn %</t>
        </is>
      </c>
      <c r="D3" s="131" t="inlineStr">
        <is>
          <t>Notes</t>
        </is>
      </c>
    </row>
    <row r="4">
      <c r="A4" s="132" t="inlineStr">
        <is>
          <t>Term</t>
        </is>
      </c>
      <c r="B4" s="132">
        <f>Inputs!B4</f>
        <v/>
      </c>
      <c r="C4" s="135">
        <f>IFERROR(XLOOKUP(B4,TermOptions[Term],TermOptions[AddOnPct]),"")</f>
        <v/>
      </c>
      <c r="D4" s="132" t="inlineStr">
        <is>
          <t>Lookup table driven</t>
        </is>
      </c>
    </row>
    <row r="5">
      <c r="A5" s="132" t="inlineStr">
        <is>
          <t>Beacon</t>
        </is>
      </c>
      <c r="B5" s="132">
        <f>Inputs!B5</f>
        <v/>
      </c>
      <c r="C5" s="135">
        <f>IFERROR(XLOOKUP(B5,BeaconOptions[BeaconBand],BeaconOptions[AddOnPct]),"")</f>
        <v/>
      </c>
      <c r="D5" s="132" t="inlineStr">
        <is>
          <t>Lookup table driven</t>
        </is>
      </c>
    </row>
    <row r="6">
      <c r="A6" s="132" t="inlineStr">
        <is>
          <t>Collateral</t>
        </is>
      </c>
      <c r="B6" s="132">
        <f>Inputs!B6</f>
        <v/>
      </c>
      <c r="C6" s="135">
        <f>IFERROR(XLOOKUP(B6,CollateralOptions[CollateralType],CollateralOptions[AddOnPct]),"")</f>
        <v/>
      </c>
      <c r="D6" s="132" t="inlineStr">
        <is>
          <t>Lookup table driven</t>
        </is>
      </c>
    </row>
    <row r="7">
      <c r="A7" s="132" t="inlineStr">
        <is>
          <t>TDSR</t>
        </is>
      </c>
      <c r="B7" s="132">
        <f>Inputs!B7</f>
        <v/>
      </c>
      <c r="C7" s="135">
        <f>IFERROR(XLOOKUP(B7,TDSROptions[TDSRBand],TDSROptions[AddOnPct]),"")</f>
        <v/>
      </c>
      <c r="D7" s="132" t="inlineStr">
        <is>
          <t>Lookup table driven</t>
        </is>
      </c>
    </row>
    <row r="8">
      <c r="A8" s="132" t="inlineStr">
        <is>
          <t>Job Stability</t>
        </is>
      </c>
      <c r="B8" s="132">
        <f>Inputs!B8</f>
        <v/>
      </c>
      <c r="C8" s="135">
        <f>IFERROR(XLOOKUP(B8,JobStabilityOptions[JobStabilityBand],JobStabilityOptions[AddOnPct]),"")</f>
        <v/>
      </c>
      <c r="D8" s="132" t="inlineStr">
        <is>
          <t>Lookup table driven</t>
        </is>
      </c>
    </row>
    <row r="9">
      <c r="A9" s="132" t="inlineStr">
        <is>
          <t>Services</t>
        </is>
      </c>
      <c r="B9" s="132">
        <f>Inputs!B9</f>
        <v/>
      </c>
      <c r="C9" s="135">
        <f>IFERROR(XLOOKUP(B9,ServiceOptions[ServiceBand],ServiceOptions[AddOnPct]),"")</f>
        <v/>
      </c>
      <c r="D9" s="132" t="inlineStr">
        <is>
          <t>Lookup table driven</t>
        </is>
      </c>
    </row>
    <row r="10">
      <c r="A10" s="132" t="inlineStr">
        <is>
          <t>Base Rate Input</t>
        </is>
      </c>
      <c r="B10" s="132">
        <f>Inputs!B10</f>
        <v/>
      </c>
      <c r="C10" s="135">
        <f>IFERROR(B10,0)</f>
        <v/>
      </c>
      <c r="D10" s="132" t="inlineStr">
        <is>
          <t>Manual optional base add-on</t>
        </is>
      </c>
    </row>
    <row r="11"/>
    <row r="12">
      <c r="A12" s="132" t="inlineStr">
        <is>
          <t>Total Add-On %</t>
        </is>
      </c>
      <c r="B12" s="132" t="n"/>
      <c r="C12" s="135">
        <f>SUM(C4:C10)</f>
        <v/>
      </c>
      <c r="D12" s="132" t="inlineStr">
        <is>
          <t>Sum of all components</t>
        </is>
      </c>
    </row>
    <row r="13">
      <c r="A13" s="132" t="inlineStr">
        <is>
          <t>Final Rate %</t>
        </is>
      </c>
      <c r="B13" s="132" t="n"/>
      <c r="C13" s="135">
        <f>C12</f>
        <v/>
      </c>
      <c r="D13" s="132" t="inlineStr">
        <is>
          <t>Use with product posted rates as needed</t>
        </is>
      </c>
    </row>
    <row r="14"/>
    <row r="15"/>
    <row r="16"/>
    <row r="17"/>
    <row r="18"/>
    <row r="19"/>
    <row r="20"/>
  </sheetData>
  <sheetProtection selectLockedCells="0" selectUnlockedCells="0" sheet="1" objects="0" insertRows="1" insertHyperlinks="1" autoFilter="1" scenarios="0" formatColumns="1" deleteColumns="1" insertColumns="1" pivotTables="1" deleteRows="1" formatCells="1" formatRows="1" sort="1"/>
  <mergeCells count="1">
    <mergeCell ref="A1:D1"/>
  </mergeCells>
  <pageMargins left="0.75" right="0.75" top="1" bottom="1" header="0.5" footer="0.5"/>
</worksheet>
</file>

<file path=xl/worksheets/sheet4.xml><?xml version="1.0" encoding="utf-8"?>
<worksheet xmlns="http://schemas.openxmlformats.org/spreadsheetml/2006/main">
  <sheetPr>
    <outlinePr summaryBelow="1" summaryRight="1"/>
    <pageSetUpPr/>
  </sheetPr>
  <dimension ref="A1:F11"/>
  <sheetViews>
    <sheetView showGridLines="0" workbookViewId="0">
      <pane ySplit="4" topLeftCell="A5" activePane="bottomLeft" state="frozen"/>
      <selection pane="bottomLeft" activeCell="A1" sqref="A1"/>
    </sheetView>
  </sheetViews>
  <sheetFormatPr baseColWidth="8" defaultRowHeight="15"/>
  <cols>
    <col width="28" customWidth="1" min="1" max="1"/>
    <col width="34" customWidth="1" min="2" max="2"/>
    <col width="12" customWidth="1" min="3" max="3"/>
    <col width="3" customWidth="1" min="4" max="4"/>
    <col width="18" customWidth="1" min="5" max="5"/>
    <col width="14" customWidth="1" min="6" max="6"/>
  </cols>
  <sheetData>
    <row r="1">
      <c r="A1" s="136" t="inlineStr">
        <is>
          <t>Rate Matrix Print Version</t>
        </is>
      </c>
    </row>
    <row r="2">
      <c r="A2" s="137" t="inlineStr">
        <is>
          <t>Use this tab for printing. Open in browser or desktop app, not Teams preview.</t>
        </is>
      </c>
    </row>
    <row r="4">
      <c r="A4" s="131" t="inlineStr">
        <is>
          <t>Input</t>
        </is>
      </c>
      <c r="B4" s="131" t="inlineStr">
        <is>
          <t>Selection</t>
        </is>
      </c>
      <c r="C4" s="131" t="inlineStr">
        <is>
          <t>Add-On %</t>
        </is>
      </c>
      <c r="E4" s="131" t="inlineStr">
        <is>
          <t>Summary</t>
        </is>
      </c>
      <c r="F4" s="131" t="inlineStr">
        <is>
          <t>Value</t>
        </is>
      </c>
    </row>
    <row r="5">
      <c r="A5" s="132" t="inlineStr">
        <is>
          <t>Loan Term</t>
        </is>
      </c>
      <c r="B5" s="132">
        <f>Calculations!B4</f>
        <v/>
      </c>
      <c r="C5" s="135">
        <f>Calculations!C4</f>
        <v/>
      </c>
      <c r="E5" s="132" t="inlineStr">
        <is>
          <t>Total Add-On %</t>
        </is>
      </c>
      <c r="F5" s="135">
        <f>Calculations!C12</f>
        <v/>
      </c>
    </row>
    <row r="6">
      <c r="A6" s="132" t="inlineStr">
        <is>
          <t>Beacon Score Band</t>
        </is>
      </c>
      <c r="B6" s="132">
        <f>Calculations!B5</f>
        <v/>
      </c>
      <c r="C6" s="135">
        <f>Calculations!C5</f>
        <v/>
      </c>
      <c r="E6" s="132" t="inlineStr">
        <is>
          <t>Final Rate %</t>
        </is>
      </c>
      <c r="F6" s="135">
        <f>Calculations!C13</f>
        <v/>
      </c>
    </row>
    <row r="7">
      <c r="A7" s="132" t="inlineStr">
        <is>
          <t>Collateral Type</t>
        </is>
      </c>
      <c r="B7" s="132">
        <f>Calculations!B6</f>
        <v/>
      </c>
      <c r="C7" s="135">
        <f>Calculations!C6</f>
        <v/>
      </c>
      <c r="E7" s="132" t="inlineStr">
        <is>
          <t>Input Status</t>
        </is>
      </c>
      <c r="F7" s="132">
        <f>Inputs!D10</f>
        <v/>
      </c>
    </row>
    <row r="8">
      <c r="A8" s="132" t="inlineStr">
        <is>
          <t>TDSR Band</t>
        </is>
      </c>
      <c r="B8" s="132">
        <f>Calculations!B7</f>
        <v/>
      </c>
      <c r="C8" s="135">
        <f>Calculations!C7</f>
        <v/>
      </c>
    </row>
    <row r="9">
      <c r="A9" s="132" t="inlineStr">
        <is>
          <t>Job Stability Band</t>
        </is>
      </c>
      <c r="B9" s="132">
        <f>Calculations!B8</f>
        <v/>
      </c>
      <c r="C9" s="135">
        <f>Calculations!C8</f>
        <v/>
      </c>
    </row>
    <row r="10">
      <c r="A10" s="132" t="inlineStr">
        <is>
          <t>Member Services Band</t>
        </is>
      </c>
      <c r="B10" s="132">
        <f>Calculations!B9</f>
        <v/>
      </c>
      <c r="C10" s="135">
        <f>Calculations!C9</f>
        <v/>
      </c>
    </row>
    <row r="11">
      <c r="A11" s="132" t="inlineStr">
        <is>
          <t>Base Rate %</t>
        </is>
      </c>
      <c r="B11" s="132">
        <f>Calculations!B10</f>
        <v/>
      </c>
      <c r="C11" s="135">
        <f>Calculations!C10</f>
        <v/>
      </c>
    </row>
  </sheetData>
  <sheetProtection selectLockedCells="0" selectUnlockedCells="0" sheet="1" objects="0" insertRows="1" insertHyperlinks="1" autoFilter="1" scenarios="0" formatColumns="1" deleteColumns="1" insertColumns="1" pivotTables="1" deleteRows="1" formatCells="1" formatRows="1" sort="1"/>
  <mergeCells count="2">
    <mergeCell ref="A2:F2"/>
    <mergeCell ref="A1:F1"/>
  </mergeCells>
  <pageMargins left="0.25" right="0.25" top="0.5" bottom="0.5" header="0.5" footer="0.5"/>
  <pageSetup orientation="portrait" paperSize="9" fitToHeight="1" fitToWidth="1"/>
</worksheet>
</file>

<file path=xl/worksheets/sheet5.xml><?xml version="1.0" encoding="utf-8"?>
<worksheet xmlns="http://schemas.openxmlformats.org/spreadsheetml/2006/main">
  <sheetPr>
    <outlinePr summaryBelow="1" summaryRight="1"/>
    <pageSetUpPr/>
  </sheetPr>
  <dimension ref="A1:D10"/>
  <sheetViews>
    <sheetView workbookViewId="0">
      <selection activeCell="A1" sqref="A1"/>
    </sheetView>
  </sheetViews>
  <sheetFormatPr baseColWidth="8" defaultRowHeight="15"/>
  <cols>
    <col width="36" customWidth="1" min="1" max="1"/>
    <col width="20" customWidth="1" min="2" max="2"/>
    <col width="12" customWidth="1" min="3" max="3"/>
    <col width="46" customWidth="1" min="4" max="4"/>
  </cols>
  <sheetData>
    <row r="1">
      <c r="A1" s="130" t="inlineStr">
        <is>
          <t>Rate Matrix Audit Checks</t>
        </is>
      </c>
    </row>
    <row r="3">
      <c r="A3" s="131" t="inlineStr">
        <is>
          <t>Check</t>
        </is>
      </c>
      <c r="B3" s="131" t="inlineStr">
        <is>
          <t>Result</t>
        </is>
      </c>
      <c r="C3" s="131" t="inlineStr">
        <is>
          <t>Status</t>
        </is>
      </c>
      <c r="D3" s="131" t="inlineStr">
        <is>
          <t>Action</t>
        </is>
      </c>
    </row>
    <row r="4">
      <c r="A4" s="132" t="inlineStr">
        <is>
          <t>All required inputs selected</t>
        </is>
      </c>
      <c r="B4" s="132">
        <f>COUNTIF(Inputs!D4:D9,"OK")</f>
        <v/>
      </c>
      <c r="C4" s="132">
        <f>IF(B4=6,"PASS","FAIL")</f>
        <v/>
      </c>
      <c r="D4" s="132" t="inlineStr">
        <is>
          <t>Select missing dropdown values in Inputs</t>
        </is>
      </c>
    </row>
    <row r="5">
      <c r="A5" s="132" t="inlineStr">
        <is>
          <t>Calculation outputs numeric</t>
        </is>
      </c>
      <c r="B5" s="132">
        <f>COUNT(Calculations!C4:C13)</f>
        <v/>
      </c>
      <c r="C5" s="132">
        <f>IF(B5&gt;=8,"PASS","FAIL")</f>
        <v/>
      </c>
      <c r="D5" s="132" t="inlineStr">
        <is>
          <t>Review lookup table values and formulas</t>
        </is>
      </c>
    </row>
    <row r="6">
      <c r="A6" s="132" t="inlineStr">
        <is>
          <t>No blank critical output fields</t>
        </is>
      </c>
      <c r="B6" s="132">
        <f>COUNTBLANK(Output_Print!B5:B11)+COUNTBLANK(Output_Print!F5:F7)</f>
        <v/>
      </c>
      <c r="C6" s="132">
        <f>IF(B6=0,"PASS","FAIL")</f>
        <v/>
      </c>
      <c r="D6" s="132" t="inlineStr">
        <is>
          <t>Refresh selections and recheck print sheet</t>
        </is>
      </c>
    </row>
    <row r="7">
      <c r="A7" s="132" t="inlineStr">
        <is>
          <t>Workbook print area set</t>
        </is>
      </c>
      <c r="B7" s="132">
        <f>IF(Output_Print!A1&lt;&gt;"",1,0)</f>
        <v/>
      </c>
      <c r="C7" s="132">
        <f>IF(B7=1,"PASS","FAIL")</f>
        <v/>
      </c>
      <c r="D7" s="132" t="inlineStr">
        <is>
          <t>Reset print area to A1:F18 on Output_Print</t>
        </is>
      </c>
    </row>
    <row r="10">
      <c r="A10" s="132" t="inlineStr">
        <is>
          <t>Overall Audit</t>
        </is>
      </c>
      <c r="B10" s="132">
        <f>COUNTIF(C4:C7,"FAIL")</f>
        <v/>
      </c>
      <c r="C10" s="132">
        <f>IF(B10=0,"PASS","REVIEW")</f>
        <v/>
      </c>
      <c r="D10" s="132" t="inlineStr">
        <is>
          <t>All checks must pass before publishing new master</t>
        </is>
      </c>
    </row>
  </sheetData>
  <mergeCells count="1">
    <mergeCell ref="A1:D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7"/>
  <sheetViews>
    <sheetView workbookViewId="0">
      <selection activeCell="A1" sqref="A1"/>
    </sheetView>
  </sheetViews>
  <sheetFormatPr baseColWidth="8" defaultRowHeight="15"/>
  <cols>
    <col width="120" customWidth="1" min="1" max="1"/>
  </cols>
  <sheetData>
    <row r="1">
      <c r="A1" s="130" t="inlineStr">
        <is>
          <t>Rate Matrix Usage Guidance</t>
        </is>
      </c>
    </row>
    <row r="3">
      <c r="A3" s="138" t="inlineStr">
        <is>
          <t>1) Print from Output_Print tab only.</t>
        </is>
      </c>
    </row>
    <row r="4">
      <c r="A4" s="138" t="inlineStr">
        <is>
          <t>2) Open workbook in Excel Desktop or Browser. Avoid Teams preview for print jobs.</t>
        </is>
      </c>
    </row>
    <row r="5">
      <c r="A5" s="138" t="inlineStr">
        <is>
          <t>3) If print fails: refresh (F5), close/reopen workbook, then print Output_Print again.</t>
        </is>
      </c>
    </row>
    <row r="6">
      <c r="A6" s="138" t="inlineStr">
        <is>
          <t>4) Update Inputs tab only; do not overwrite formulas on Calculations/Output_Print/Audit.</t>
        </is>
      </c>
    </row>
    <row r="7">
      <c r="A7" s="138" t="inlineStr">
        <is>
          <t>5) Keep this file as the versioned master. Publish copies to users as needed.</t>
        </is>
      </c>
    </row>
  </sheetData>
  <pageMargins left="0.75" right="0.75" top="1" bottom="1" header="0.5" footer="0.5"/>
</worksheet>
</file>

<file path=xl/worksheets/sheet7.xml><?xml version="1.0" encoding="utf-8"?>
<worksheet xmlns="http://schemas.openxmlformats.org/spreadsheetml/2006/main">
  <sheetPr codeName="Sheet1">
    <outlinePr summaryBelow="1" summaryRight="1"/>
    <pageSetUpPr fitToPage="1"/>
  </sheetPr>
  <dimension ref="A1:N41"/>
  <sheetViews>
    <sheetView tabSelected="1" zoomScale="75" zoomScaleNormal="75" workbookViewId="0">
      <selection activeCell="W10" sqref="W10"/>
    </sheetView>
  </sheetViews>
  <sheetFormatPr baseColWidth="8" defaultRowHeight="12.75"/>
  <cols>
    <col width="14" customWidth="1" min="1" max="1"/>
    <col width="8.28515625" customWidth="1" style="3" min="2" max="2"/>
    <col width="16.5703125" customWidth="1" min="3" max="3"/>
    <col width="10.5703125" customWidth="1" style="3" min="4" max="4"/>
    <col width="19" customWidth="1" min="5" max="5"/>
    <col width="8.85546875" customWidth="1" style="3" min="6" max="6"/>
    <col width="21.28515625" customWidth="1" min="7" max="7"/>
    <col width="10.28515625" customWidth="1" style="3" min="8" max="8"/>
    <col width="20.85546875" customWidth="1" min="9" max="9"/>
    <col width="8.85546875" customWidth="1" style="3" min="10" max="10"/>
    <col width="20.85546875" customWidth="1" min="11" max="11"/>
    <col width="8.85546875" customWidth="1" style="3" min="12" max="12"/>
    <col width="20.85546875" customWidth="1" min="13" max="13"/>
    <col width="10.140625" customWidth="1" style="3" min="14" max="14"/>
  </cols>
  <sheetData>
    <row r="1" ht="35.1" customHeight="1">
      <c r="A1" s="139" t="n"/>
      <c r="B1" s="140" t="n"/>
      <c r="C1" s="140" t="n"/>
      <c r="D1" s="140" t="n"/>
      <c r="E1" s="140" t="n"/>
      <c r="F1" s="140" t="n"/>
      <c r="G1" s="140" t="n"/>
      <c r="H1" s="140" t="n"/>
      <c r="I1" s="140" t="n"/>
      <c r="J1" s="140" t="n"/>
      <c r="K1" s="140" t="n"/>
      <c r="L1" s="140" t="n"/>
      <c r="M1" s="140" t="n"/>
      <c r="N1" s="141" t="n"/>
    </row>
    <row r="2" ht="14.25" customHeight="1">
      <c r="A2" s="142" t="n"/>
      <c r="B2" s="143" t="n"/>
      <c r="C2" s="143" t="n"/>
      <c r="D2" s="143" t="n"/>
      <c r="E2" s="143" t="n"/>
      <c r="F2" s="143" t="n"/>
      <c r="G2" s="143" t="n"/>
      <c r="H2" s="143" t="n"/>
      <c r="I2" s="143" t="n"/>
      <c r="J2" s="143" t="n"/>
      <c r="K2" s="143" t="n"/>
      <c r="L2" s="143" t="n"/>
      <c r="M2" s="143" t="n"/>
      <c r="N2" s="144" t="n"/>
    </row>
    <row r="3" ht="9.75" customFormat="1" customHeight="1" s="2">
      <c r="A3" s="145" t="inlineStr">
        <is>
          <t>LOC or Loan Term</t>
        </is>
      </c>
      <c r="B3" s="146" t="n"/>
      <c r="C3" s="145" t="inlineStr">
        <is>
          <t>Beacon Score</t>
        </is>
      </c>
      <c r="D3" s="146" t="n"/>
      <c r="E3" s="145" t="n"/>
      <c r="F3" s="146" t="n"/>
      <c r="G3" s="147" t="inlineStr">
        <is>
          <t>TDSR</t>
        </is>
      </c>
      <c r="H3" s="146" t="n"/>
      <c r="I3" s="147" t="inlineStr">
        <is>
          <t>Job Stability</t>
        </is>
      </c>
      <c r="J3" s="146" t="n"/>
      <c r="K3" s="145" t="inlineStr">
        <is>
          <t>Valley Credit Union Services</t>
        </is>
      </c>
      <c r="L3" s="146" t="n"/>
      <c r="M3" s="147" t="inlineStr">
        <is>
          <t xml:space="preserve">Net Worth </t>
        </is>
      </c>
      <c r="N3" s="146" t="n"/>
    </row>
    <row r="4" ht="9" customFormat="1" customHeight="1" s="1">
      <c r="A4" s="148" t="n"/>
      <c r="B4" s="149" t="n"/>
      <c r="C4" s="148" t="n"/>
      <c r="D4" s="149" t="n"/>
      <c r="E4" s="148" t="n"/>
      <c r="F4" s="149" t="n"/>
      <c r="G4" s="148" t="n"/>
      <c r="H4" s="149" t="n"/>
      <c r="I4" s="148" t="n"/>
      <c r="J4" s="149" t="n"/>
      <c r="K4" s="148" t="n"/>
      <c r="L4" s="149" t="n"/>
      <c r="M4" s="148" t="n"/>
      <c r="N4" s="149" t="n"/>
    </row>
    <row r="5" ht="10.5" customHeight="1">
      <c r="A5" s="8" t="n"/>
      <c r="B5" s="9" t="n"/>
      <c r="C5" s="8" t="n"/>
      <c r="D5" s="9" t="n">
        <v>0.25</v>
      </c>
      <c r="E5" s="8" t="n"/>
      <c r="F5" s="10" t="n"/>
      <c r="G5" s="8" t="n"/>
      <c r="H5" s="9" t="n"/>
      <c r="I5" s="8" t="n"/>
      <c r="J5" s="9" t="n"/>
      <c r="K5" s="11" t="n"/>
      <c r="L5" s="9" t="n"/>
      <c r="M5" s="8" t="n"/>
      <c r="N5" s="9" t="n"/>
    </row>
    <row r="6" ht="28.5" customHeight="1">
      <c r="A6" s="57" t="inlineStr">
        <is>
          <t xml:space="preserve">Variable Rate </t>
        </is>
      </c>
      <c r="B6" s="13" t="n">
        <v>0</v>
      </c>
      <c r="C6" s="14" t="inlineStr">
        <is>
          <t>Over 700   +0.25%</t>
        </is>
      </c>
      <c r="D6" s="15" t="n">
        <v>0.25</v>
      </c>
      <c r="E6" s="16" t="n"/>
      <c r="F6" s="15" t="n"/>
      <c r="G6" s="17" t="inlineStr">
        <is>
          <t>&lt; 20%        +0.25%</t>
        </is>
      </c>
      <c r="H6" s="15" t="n">
        <v>0.25</v>
      </c>
      <c r="I6" s="18" t="inlineStr">
        <is>
          <t>Over 8 years +0.00%</t>
        </is>
      </c>
      <c r="J6" s="15" t="n">
        <v>0</v>
      </c>
      <c r="K6" s="19" t="inlineStr">
        <is>
          <t>4+ and Day to Day Account   +0.00</t>
        </is>
      </c>
      <c r="L6" s="15" t="n">
        <v>0</v>
      </c>
      <c r="M6" s="18" t="inlineStr">
        <is>
          <t>Over $200K  +0.00%</t>
        </is>
      </c>
      <c r="N6" s="15" t="n">
        <v>0</v>
      </c>
    </row>
    <row r="7" ht="9" customHeight="1">
      <c r="A7" s="20" t="n"/>
      <c r="B7" s="21" t="n"/>
      <c r="C7" s="11" t="n"/>
      <c r="D7" s="22" t="n"/>
      <c r="E7" s="20" t="n"/>
      <c r="F7" s="22" t="n"/>
      <c r="G7" s="20" t="n"/>
      <c r="H7" s="22" t="n"/>
      <c r="I7" s="8" t="n"/>
      <c r="J7" s="22" t="n">
        <v>0</v>
      </c>
      <c r="K7" s="11" t="n"/>
      <c r="L7" s="22" t="n"/>
      <c r="M7" s="8" t="n"/>
      <c r="N7" s="22" t="n"/>
    </row>
    <row r="8" ht="14.25" customHeight="1">
      <c r="A8" s="18" t="inlineStr">
        <is>
          <t>1yr    +2.00%</t>
        </is>
      </c>
      <c r="B8" s="71" t="n"/>
      <c r="C8" s="67" t="inlineStr">
        <is>
          <t>650-699     +0.50%</t>
        </is>
      </c>
      <c r="D8" s="55" t="n"/>
      <c r="E8" s="108" t="inlineStr">
        <is>
          <t>CUFM Securities Monitored+.25%</t>
        </is>
      </c>
      <c r="F8" s="55" t="n"/>
      <c r="G8" s="114" t="inlineStr">
        <is>
          <t>20% to 24.9%  +0.35</t>
        </is>
      </c>
      <c r="H8" s="55" t="n"/>
      <c r="I8" s="115" t="inlineStr">
        <is>
          <t>5yrs to 8yrs +0.25%</t>
        </is>
      </c>
      <c r="J8" s="55" t="n"/>
      <c r="K8" s="67" t="inlineStr">
        <is>
          <t>4 or more  +0.15%</t>
        </is>
      </c>
      <c r="L8" s="55" t="n"/>
      <c r="M8" s="67" t="inlineStr">
        <is>
          <t>Over $100K   +0.50%</t>
        </is>
      </c>
      <c r="N8" s="56" t="n"/>
    </row>
    <row r="9" ht="14.25" customHeight="1">
      <c r="A9" s="18" t="inlineStr">
        <is>
          <t>Fixed Rate</t>
        </is>
      </c>
      <c r="B9" s="150" t="n"/>
      <c r="C9" s="151" t="n"/>
      <c r="D9" s="152" t="n"/>
      <c r="E9" s="151" t="n"/>
      <c r="F9" s="152" t="n"/>
      <c r="G9" s="151" t="n"/>
      <c r="H9" s="152" t="n"/>
      <c r="I9" s="151" t="n"/>
      <c r="J9" s="152" t="n"/>
      <c r="K9" s="151" t="n"/>
      <c r="L9" s="152" t="n"/>
      <c r="M9" s="151" t="n"/>
      <c r="N9" s="152" t="n"/>
    </row>
    <row r="10" ht="9" customHeight="1">
      <c r="A10" s="8" t="n"/>
      <c r="B10" s="21" t="n"/>
      <c r="C10" s="11" t="n"/>
      <c r="D10" s="22" t="n"/>
      <c r="E10" s="8" t="n"/>
      <c r="F10" s="22" t="n"/>
      <c r="G10" s="8" t="n"/>
      <c r="H10" s="22" t="n"/>
      <c r="I10" s="23" t="n"/>
      <c r="J10" s="22" t="n"/>
      <c r="K10" s="11" t="n"/>
      <c r="L10" s="22" t="n"/>
      <c r="M10" s="11" t="n"/>
      <c r="N10" s="22" t="n"/>
    </row>
    <row r="11" ht="14.25" customHeight="1">
      <c r="A11" s="18" t="inlineStr">
        <is>
          <t>2yrs  +2.00%</t>
        </is>
      </c>
      <c r="B11" s="71" t="n"/>
      <c r="C11" s="67" t="inlineStr">
        <is>
          <t>620 to 649 +1.50%</t>
        </is>
      </c>
      <c r="D11" s="55" t="n"/>
      <c r="E11" s="57" t="inlineStr">
        <is>
          <t>Motor Vehicle: New-3 Yrs: +0.50%</t>
        </is>
      </c>
      <c r="F11" s="55" t="n"/>
      <c r="G11" s="108" t="inlineStr">
        <is>
          <t>25% to 29.9% +0.50%</t>
        </is>
      </c>
      <c r="H11" s="55" t="n"/>
      <c r="I11" s="67" t="inlineStr">
        <is>
          <t>2yrs to 5yrs +0.50</t>
        </is>
      </c>
      <c r="J11" s="55" t="n"/>
      <c r="K11" s="67" t="inlineStr">
        <is>
          <t>1 to 3      +0.25%</t>
        </is>
      </c>
      <c r="L11" s="55" t="n"/>
      <c r="M11" s="67" t="inlineStr">
        <is>
          <t>Over $50K   +1.00%</t>
        </is>
      </c>
      <c r="N11" s="55" t="n"/>
    </row>
    <row r="12" ht="14.25" customHeight="1">
      <c r="A12" s="18" t="inlineStr">
        <is>
          <t>Fixed Rate</t>
        </is>
      </c>
      <c r="B12" s="150" t="n"/>
      <c r="C12" s="151" t="n"/>
      <c r="D12" s="152" t="n"/>
      <c r="E12" s="153" t="n"/>
      <c r="F12" s="152" t="n"/>
      <c r="G12" s="151" t="n"/>
      <c r="H12" s="152" t="n"/>
      <c r="I12" s="151" t="n"/>
      <c r="J12" s="152" t="n"/>
      <c r="K12" s="151" t="n"/>
      <c r="L12" s="152" t="n"/>
      <c r="M12" s="151" t="n"/>
      <c r="N12" s="152" t="n"/>
    </row>
    <row r="13" ht="9.75" customHeight="1">
      <c r="A13" s="8" t="n"/>
      <c r="B13" s="21" t="n"/>
      <c r="C13" s="11" t="n"/>
      <c r="D13" s="22" t="n"/>
      <c r="E13" s="8" t="n"/>
      <c r="F13" s="22" t="n"/>
      <c r="G13" s="8" t="n"/>
      <c r="H13" s="22" t="n"/>
      <c r="I13" s="8" t="n"/>
      <c r="J13" s="22" t="n"/>
      <c r="K13" s="11" t="n"/>
      <c r="L13" s="22" t="n">
        <v>0</v>
      </c>
      <c r="M13" s="11" t="n"/>
      <c r="N13" s="22" t="n"/>
    </row>
    <row r="14" ht="14.25" customHeight="1">
      <c r="A14" s="18" t="inlineStr">
        <is>
          <t>3yrs  +2.25%</t>
        </is>
      </c>
      <c r="B14" s="71" t="n"/>
      <c r="C14" s="67" t="inlineStr">
        <is>
          <t>600 to 619 +2.00%</t>
        </is>
      </c>
      <c r="D14" s="55" t="n"/>
      <c r="E14" s="57" t="inlineStr">
        <is>
          <t>Motor Vehicle: 4-5 Yrs: +0.75%</t>
        </is>
      </c>
      <c r="F14" s="55" t="n"/>
      <c r="G14" s="108" t="inlineStr">
        <is>
          <t>30% to 35%   +0.75%</t>
        </is>
      </c>
      <c r="H14" s="55" t="n"/>
      <c r="I14" s="67" t="inlineStr">
        <is>
          <t>Less than 2 yrs +0.75%</t>
        </is>
      </c>
      <c r="J14" s="55" t="n"/>
      <c r="K14" s="24" t="inlineStr">
        <is>
          <t>No services   +0.50%</t>
        </is>
      </c>
      <c r="L14" s="55" t="n"/>
      <c r="M14" s="67" t="inlineStr">
        <is>
          <t>Over $25K  +2.00%</t>
        </is>
      </c>
      <c r="N14" s="55" t="n"/>
    </row>
    <row r="15" ht="14.25" customHeight="1">
      <c r="A15" s="18" t="inlineStr">
        <is>
          <t>Fixed Rate</t>
        </is>
      </c>
      <c r="B15" s="150" t="n"/>
      <c r="C15" s="151" t="n"/>
      <c r="D15" s="152" t="n"/>
      <c r="E15" s="153" t="n"/>
      <c r="F15" s="152" t="n"/>
      <c r="G15" s="151" t="n"/>
      <c r="H15" s="152" t="n"/>
      <c r="I15" s="151" t="n"/>
      <c r="J15" s="152" t="n"/>
      <c r="K15" s="24" t="n"/>
      <c r="L15" s="152" t="n"/>
      <c r="M15" s="151" t="n"/>
      <c r="N15" s="152" t="n"/>
    </row>
    <row r="16" ht="10.5" customHeight="1">
      <c r="A16" s="8" t="n"/>
      <c r="B16" s="21" t="n"/>
      <c r="C16" s="11" t="n"/>
      <c r="D16" s="22" t="n">
        <v>0</v>
      </c>
      <c r="E16" s="8" t="n"/>
      <c r="F16" s="22" t="n"/>
      <c r="G16" s="8" t="n"/>
      <c r="H16" s="22" t="inlineStr">
        <is>
          <t>.</t>
        </is>
      </c>
      <c r="I16" s="25" t="n"/>
      <c r="J16" s="22" t="n"/>
      <c r="K16" s="11" t="n"/>
      <c r="L16" s="22" t="n"/>
      <c r="M16" s="11" t="n"/>
      <c r="N16" s="22" t="n"/>
    </row>
    <row r="17" ht="14.25" customHeight="1">
      <c r="A17" s="18" t="inlineStr">
        <is>
          <t>4yrs  +2.50%</t>
        </is>
      </c>
      <c r="B17" s="71" t="n"/>
      <c r="C17" s="67" t="inlineStr">
        <is>
          <t>500 to 599 +4.00%</t>
        </is>
      </c>
      <c r="D17" s="55" t="n"/>
      <c r="E17" s="57" t="inlineStr">
        <is>
          <t>Motor Vehicle: &gt;5 Yrs: +1.00%</t>
        </is>
      </c>
      <c r="F17" s="55" t="n">
        <v>1</v>
      </c>
      <c r="G17" s="108" t="inlineStr">
        <is>
          <t>35% to 39.9%   +1.00%</t>
        </is>
      </c>
      <c r="H17" s="55" t="n"/>
      <c r="I17" s="26" t="n"/>
      <c r="J17" s="56" t="n"/>
      <c r="K17" s="27" t="n"/>
      <c r="L17" s="56" t="n"/>
      <c r="M17" s="67" t="inlineStr">
        <is>
          <t>Under $25K  +3.00%</t>
        </is>
      </c>
      <c r="N17" s="55" t="n"/>
    </row>
    <row r="18" ht="14.25" customHeight="1">
      <c r="A18" s="18" t="inlineStr">
        <is>
          <t>Fixed Rate</t>
        </is>
      </c>
      <c r="B18" s="150" t="n"/>
      <c r="C18" s="151" t="n"/>
      <c r="D18" s="152" t="n"/>
      <c r="E18" s="153" t="n"/>
      <c r="F18" s="152" t="n"/>
      <c r="G18" s="151" t="n"/>
      <c r="H18" s="152" t="n"/>
      <c r="I18" s="26" t="n"/>
      <c r="J18" s="152" t="n"/>
      <c r="K18" s="27" t="n"/>
      <c r="L18" s="152" t="n"/>
      <c r="M18" s="151" t="n"/>
      <c r="N18" s="152" t="n"/>
    </row>
    <row r="19" ht="10.5" customHeight="1">
      <c r="A19" s="8" t="n"/>
      <c r="B19" s="21" t="n"/>
      <c r="C19" s="11" t="n"/>
      <c r="D19" s="22" t="n"/>
      <c r="E19" s="8" t="n"/>
      <c r="F19" s="22" t="n"/>
      <c r="G19" s="8" t="n"/>
      <c r="H19" s="22" t="n"/>
      <c r="I19" s="8" t="inlineStr">
        <is>
          <t> </t>
        </is>
      </c>
      <c r="J19" s="22" t="n"/>
      <c r="K19" s="11" t="n"/>
      <c r="L19" s="22" t="n"/>
      <c r="M19" s="11" t="n"/>
      <c r="N19" s="22" t="n">
        <v>0</v>
      </c>
    </row>
    <row r="20" ht="14.25" customHeight="1">
      <c r="A20" s="18" t="inlineStr">
        <is>
          <t>5yrs  +2.75%</t>
        </is>
      </c>
      <c r="B20" s="71" t="n"/>
      <c r="C20" s="91" t="inlineStr">
        <is>
          <t>Under 499 +7.00%</t>
        </is>
      </c>
      <c r="D20" s="15" t="n"/>
      <c r="E20" s="91" t="inlineStr">
        <is>
          <t>Unsecured +2.00%</t>
        </is>
      </c>
      <c r="F20" s="154" t="n"/>
      <c r="G20" s="109" t="inlineStr">
        <is>
          <t>Over 40%   +1.25%</t>
        </is>
      </c>
      <c r="H20" s="154" t="n"/>
      <c r="I20" s="117" t="n"/>
      <c r="J20" s="56" t="n"/>
      <c r="K20" s="27" t="n"/>
      <c r="L20" s="56" t="n"/>
      <c r="M20" s="91" t="inlineStr">
        <is>
          <t xml:space="preserve">Negative &lt; $0 + 4.00% </t>
        </is>
      </c>
      <c r="N20" s="55" t="n"/>
    </row>
    <row r="21" ht="14.25" customHeight="1">
      <c r="A21" s="18" t="inlineStr">
        <is>
          <t>Fixed Rate</t>
        </is>
      </c>
      <c r="B21" s="150" t="n"/>
      <c r="C21" s="155" t="n"/>
      <c r="D21" s="156" t="n"/>
      <c r="E21" s="155" t="n"/>
      <c r="F21" s="157" t="n"/>
      <c r="G21" s="155" t="n"/>
      <c r="H21" s="157" t="n"/>
      <c r="I21" s="155" t="n"/>
      <c r="J21" s="152" t="n"/>
      <c r="K21" s="27" t="n"/>
      <c r="L21" s="152" t="n"/>
      <c r="M21" s="155" t="n"/>
      <c r="N21" s="152" t="n"/>
    </row>
    <row r="22" ht="15.75" customHeight="1">
      <c r="A22" s="28" t="inlineStr">
        <is>
          <t>Add ons:</t>
        </is>
      </c>
      <c r="B22" s="29">
        <f>SUM(B6:B21)</f>
        <v/>
      </c>
      <c r="C22" s="29" t="n"/>
      <c r="D22" s="29">
        <f>SUM(D6:D21)</f>
        <v/>
      </c>
      <c r="E22" s="29" t="n"/>
      <c r="F22" s="29">
        <f>SUM(F6:F21)</f>
        <v/>
      </c>
      <c r="G22" s="29" t="n"/>
      <c r="H22" s="29">
        <f>SUM(H6:H21)</f>
        <v/>
      </c>
      <c r="I22" s="29" t="n"/>
      <c r="J22" s="29">
        <f>SUM(J6:J21)</f>
        <v/>
      </c>
      <c r="K22" s="29" t="n"/>
      <c r="L22" s="29">
        <f>SUM(L6:L21)</f>
        <v/>
      </c>
      <c r="M22" s="29" t="n"/>
      <c r="N22" s="51">
        <f>SUM(N6:N21)</f>
        <v/>
      </c>
    </row>
    <row r="23" ht="9.75" customHeight="1">
      <c r="A23" s="8" t="n"/>
      <c r="B23" s="10" t="n"/>
      <c r="C23" s="11" t="n"/>
      <c r="D23" s="10">
        <f>SUM(D6:D22)</f>
        <v/>
      </c>
      <c r="E23" s="11" t="n"/>
      <c r="F23" s="10" t="n"/>
      <c r="G23" s="11" t="n"/>
      <c r="H23" s="10" t="n">
        <v>0.5</v>
      </c>
      <c r="I23" s="11" t="n"/>
      <c r="J23" s="10" t="n"/>
      <c r="K23" s="11" t="n"/>
      <c r="L23" s="10">
        <f>SUM(L6:L22)</f>
        <v/>
      </c>
      <c r="M23" s="11" t="n"/>
      <c r="N23" s="9" t="n"/>
    </row>
    <row r="24" ht="18" customHeight="1">
      <c r="A24" s="30" t="inlineStr">
        <is>
          <t>Total Add on:</t>
        </is>
      </c>
      <c r="B24" s="31">
        <f>SUM(B22:N22)</f>
        <v/>
      </c>
      <c r="C24" s="158" t="inlineStr">
        <is>
          <t>Branch Signature and Comments</t>
        </is>
      </c>
      <c r="D24" s="159" t="n"/>
      <c r="E24" s="160" t="n"/>
      <c r="F24" s="161" t="n"/>
      <c r="G24" s="162" t="n"/>
      <c r="H24" s="162" t="n"/>
      <c r="I24" s="162" t="n"/>
      <c r="J24" s="162" t="n"/>
      <c r="K24" s="162" t="n"/>
      <c r="L24" s="162" t="n"/>
      <c r="M24" s="162" t="n"/>
      <c r="N24" s="163" t="n"/>
    </row>
    <row r="25" ht="6.75" customHeight="1">
      <c r="A25" s="32" t="n"/>
      <c r="B25" s="33" t="n"/>
      <c r="C25" s="164" t="n"/>
      <c r="E25" s="165" t="n"/>
      <c r="N25" s="165" t="n"/>
    </row>
    <row r="26" ht="16.5" customHeight="1">
      <c r="A26" s="34" t="inlineStr">
        <is>
          <t>Prime rate:</t>
        </is>
      </c>
      <c r="B26" s="31" t="n">
        <v>4.45</v>
      </c>
      <c r="C26" s="166" t="n"/>
      <c r="E26" s="165" t="n"/>
      <c r="N26" s="165" t="n"/>
    </row>
    <row r="27" ht="3.75" customHeight="1">
      <c r="A27" s="34" t="n"/>
      <c r="B27" s="31" t="n"/>
      <c r="C27" s="166" t="n"/>
      <c r="E27" s="165" t="n"/>
      <c r="N27" s="165" t="n"/>
    </row>
    <row r="28" ht="14.25" customHeight="1">
      <c r="A28" s="35" t="inlineStr">
        <is>
          <t xml:space="preserve">Approved </t>
        </is>
      </c>
      <c r="B28" s="36">
        <f>B26+B24</f>
        <v/>
      </c>
      <c r="C28" s="167" t="n"/>
      <c r="D28" s="168" t="n"/>
      <c r="E28" s="169" t="n"/>
      <c r="N28" s="165" t="n"/>
    </row>
    <row r="29" hidden="1" ht="18" customHeight="1">
      <c r="A29" s="37" t="inlineStr">
        <is>
          <t>Rate*</t>
        </is>
      </c>
      <c r="B29" s="38">
        <f>SUM(B24:B28)</f>
        <v/>
      </c>
      <c r="C29" s="11" t="n"/>
      <c r="D29" s="10" t="n"/>
      <c r="E29" s="11" t="n"/>
      <c r="F29" s="168" t="n"/>
      <c r="G29" s="168" t="n"/>
      <c r="H29" s="168" t="n"/>
      <c r="I29" s="168" t="n"/>
      <c r="J29" s="168" t="n"/>
      <c r="K29" s="168" t="n"/>
      <c r="L29" s="168" t="n"/>
      <c r="M29" s="168" t="n"/>
      <c r="N29" s="169" t="n"/>
    </row>
    <row r="30" ht="24.75" customHeight="1">
      <c r="A30" s="79" t="n"/>
      <c r="B30" s="170" t="n"/>
      <c r="C30" s="170" t="n"/>
      <c r="D30" s="170" t="n"/>
      <c r="E30" s="170" t="n"/>
      <c r="F30" s="170" t="n"/>
      <c r="G30" s="170" t="n"/>
      <c r="H30" s="170" t="n"/>
      <c r="I30" s="170" t="n"/>
      <c r="J30" s="170" t="n"/>
      <c r="K30" s="170" t="n"/>
      <c r="L30" s="170" t="n"/>
      <c r="M30" s="170" t="n"/>
      <c r="N30" s="171" t="n"/>
    </row>
    <row r="31" ht="35.25" customHeight="1">
      <c r="A31" s="64" t="inlineStr">
        <is>
          <t>Select the appropriate block under each category column above and insert the rate adjustment in the blank box to the right of the respective selection. For retiree's select "over 8 years" for job stability.</t>
        </is>
      </c>
      <c r="B31" s="172" t="n"/>
      <c r="C31" s="172" t="n"/>
      <c r="D31" s="172" t="n"/>
      <c r="E31" s="172" t="n"/>
      <c r="F31" s="172" t="n"/>
      <c r="G31" s="172" t="n"/>
      <c r="H31" s="172" t="n"/>
      <c r="I31" s="172" t="n"/>
      <c r="J31" s="172" t="n"/>
      <c r="K31" s="172" t="n"/>
      <c r="L31" s="172" t="n"/>
      <c r="M31" s="172" t="n"/>
      <c r="N31" s="173" t="n"/>
    </row>
    <row r="32" ht="21.75" customHeight="1">
      <c r="A32" s="174" t="inlineStr">
        <is>
          <t xml:space="preserve">The program will accumulate “add-ons” in the bottom row to get the required “total add-on” to prime rate to provide the Approved Rate. </t>
        </is>
      </c>
      <c r="B32" s="143" t="n"/>
      <c r="C32" s="143" t="n"/>
      <c r="D32" s="143" t="n"/>
      <c r="E32" s="143" t="n"/>
      <c r="F32" s="143" t="n"/>
      <c r="G32" s="143" t="n"/>
      <c r="H32" s="143" t="n"/>
      <c r="I32" s="143" t="n"/>
      <c r="J32" s="143" t="n"/>
      <c r="K32" s="143" t="n"/>
      <c r="L32" s="143" t="n"/>
      <c r="M32" s="143" t="n"/>
      <c r="N32" s="144" t="n"/>
    </row>
    <row r="33" ht="21" customHeight="1">
      <c r="A33" s="175" t="inlineStr">
        <is>
          <t>Complete the Member name, loan #, and date. The Branch signature is provided with supporting comments, if necessary.  File / Scan rate sheet with loan documents for Audit function.</t>
        </is>
      </c>
      <c r="B33" s="143" t="n"/>
      <c r="C33" s="143" t="n"/>
      <c r="D33" s="143" t="n"/>
      <c r="E33" s="143" t="n"/>
      <c r="F33" s="143" t="n"/>
      <c r="G33" s="143" t="n"/>
      <c r="H33" s="143" t="n"/>
      <c r="I33" s="143" t="n"/>
      <c r="J33" s="143" t="n"/>
      <c r="K33" s="143" t="n"/>
      <c r="L33" s="143" t="n"/>
      <c r="M33" s="143" t="n"/>
      <c r="N33" s="144" t="n"/>
    </row>
    <row r="34" ht="25.5" customHeight="1">
      <c r="A34" s="61" t="inlineStr">
        <is>
          <t>Exceptions*</t>
        </is>
      </c>
      <c r="B34" s="176" t="n"/>
      <c r="C34" s="176" t="n"/>
      <c r="D34" s="176" t="n"/>
      <c r="E34" s="176" t="n"/>
      <c r="F34" s="176" t="n"/>
      <c r="G34" s="176" t="n"/>
      <c r="H34" s="176" t="n"/>
      <c r="I34" s="176" t="n"/>
      <c r="J34" s="176" t="n"/>
      <c r="K34" s="176" t="n"/>
      <c r="L34" s="176" t="n"/>
      <c r="M34" s="176" t="n"/>
      <c r="N34" s="177" t="n"/>
    </row>
    <row r="35" ht="21.75" customHeight="1">
      <c r="A35" s="178" t="inlineStr">
        <is>
          <t>Student Loans provided during the period of study may be priced at P+ 3 floating rate or higher at Branch discretion. "Term out" LOC's after the period of study ends.</t>
        </is>
      </c>
      <c r="B35" s="179" t="n"/>
      <c r="C35" s="179" t="n"/>
      <c r="D35" s="179" t="n"/>
      <c r="E35" s="179" t="n"/>
      <c r="F35" s="179" t="n"/>
      <c r="G35" s="179" t="n"/>
      <c r="H35" s="179" t="n"/>
      <c r="I35" s="179" t="n"/>
      <c r="J35" s="179" t="n"/>
      <c r="K35" s="179" t="n"/>
      <c r="L35" s="179" t="n"/>
      <c r="M35" s="179" t="n"/>
      <c r="N35" s="180" t="n"/>
    </row>
    <row r="36" ht="33.75" customHeight="1">
      <c r="A36" s="178" t="inlineStr">
        <is>
          <t xml:space="preserve">RRSP Loans - Refer to lending policy section 25130 RRSP; RRSP loans at P+1.0% conditional upon RRSP's being held at VCU. Loans for non-VCU or non-CUFM portfolios are treated as normal unsecured loans with maximum 60 month amortization and matrix pricing. Waiver of first 3 payments is available on this product, see procedures. </t>
        </is>
      </c>
      <c r="B36" s="179" t="n"/>
      <c r="C36" s="179" t="n"/>
      <c r="D36" s="179" t="n"/>
      <c r="E36" s="179" t="n"/>
      <c r="F36" s="179" t="n"/>
      <c r="G36" s="179" t="n"/>
      <c r="H36" s="179" t="n"/>
      <c r="I36" s="179" t="n"/>
      <c r="J36" s="179" t="n"/>
      <c r="K36" s="179" t="n"/>
      <c r="L36" s="179" t="n"/>
      <c r="M36" s="179" t="n"/>
      <c r="N36" s="180" t="n"/>
    </row>
    <row r="37" ht="21" customHeight="1">
      <c r="A37" s="68" t="inlineStr">
        <is>
          <t>$5000 and under are to be priced at 21%. VCU Loans may be grouped together to exceed the $5,000 threshold.</t>
        </is>
      </c>
      <c r="B37" s="179" t="n"/>
      <c r="C37" s="179" t="n"/>
      <c r="D37" s="179" t="n"/>
      <c r="E37" s="179" t="n"/>
      <c r="F37" s="179" t="n"/>
      <c r="G37" s="179" t="n"/>
      <c r="H37" s="179" t="n"/>
      <c r="I37" s="179" t="n"/>
      <c r="J37" s="179" t="n"/>
      <c r="K37" s="179" t="n"/>
      <c r="L37" s="179" t="n"/>
      <c r="M37" s="179" t="n"/>
      <c r="N37" s="181" t="n"/>
    </row>
    <row r="38" ht="36" customHeight="1">
      <c r="A38" s="68" t="inlineStr">
        <is>
          <t>LOC's secured by Real Estate (including TAHE) pricing is P + 1%, however with H.O. Authorization, VCU may consider rates as low as P +.5% with a full Member relationship. The Branch should increase the rate when risk warrants.</t>
        </is>
      </c>
      <c r="B38" s="179" t="n"/>
      <c r="C38" s="179" t="n"/>
      <c r="D38" s="179" t="n"/>
      <c r="E38" s="179" t="n"/>
      <c r="F38" s="179" t="n"/>
      <c r="G38" s="179" t="n"/>
      <c r="H38" s="179" t="n"/>
      <c r="I38" s="179" t="n"/>
      <c r="J38" s="179" t="n"/>
      <c r="K38" s="179" t="n"/>
      <c r="L38" s="179" t="n"/>
      <c r="M38" s="179" t="n"/>
      <c r="N38" s="181" t="n"/>
    </row>
    <row r="39" ht="20.25" customHeight="1">
      <c r="A39" s="58" t="inlineStr">
        <is>
          <t xml:space="preserve">Rates offered below "Approved Rate" should include comments, and H.O. approval if rate offered is substantially below matrix, or below P + 1%.   </t>
        </is>
      </c>
      <c r="B39" s="182" t="n"/>
      <c r="C39" s="182" t="n"/>
      <c r="D39" s="182" t="n"/>
      <c r="E39" s="182" t="n"/>
      <c r="F39" s="182" t="n"/>
      <c r="G39" s="182" t="n"/>
      <c r="H39" s="182" t="n"/>
      <c r="I39" s="182" t="n"/>
      <c r="J39" s="182" t="n"/>
      <c r="K39" s="182" t="n"/>
      <c r="L39" s="182" t="n"/>
      <c r="M39" s="182" t="n"/>
      <c r="N39" s="183" t="n"/>
    </row>
    <row r="40" ht="14.25" customHeight="1">
      <c r="A40" s="39" t="n"/>
      <c r="B40" s="31" t="n"/>
      <c r="C40" s="39" t="n"/>
      <c r="D40" s="31" t="n"/>
      <c r="E40" s="39" t="n"/>
      <c r="F40" s="31" t="n"/>
      <c r="G40" s="39" t="n"/>
      <c r="H40" s="31" t="n"/>
      <c r="I40" s="39" t="n"/>
      <c r="J40" s="31" t="n"/>
      <c r="K40" s="39" t="n"/>
      <c r="L40" s="31" t="n"/>
      <c r="M40" s="39" t="n"/>
      <c r="N40" s="31" t="n"/>
    </row>
    <row r="41" ht="14.25" customHeight="1">
      <c r="A41" s="39" t="n"/>
      <c r="B41" s="31" t="n"/>
      <c r="C41" s="39" t="n"/>
      <c r="D41" s="31" t="n"/>
      <c r="E41" s="39" t="n"/>
      <c r="F41" s="31" t="n"/>
      <c r="G41" s="39" t="n"/>
      <c r="H41" s="31" t="n"/>
      <c r="I41" s="39" t="n"/>
      <c r="J41" s="31" t="n"/>
      <c r="K41" s="39" t="n"/>
      <c r="L41" s="31" t="n"/>
      <c r="M41" s="39" t="n"/>
      <c r="N41" s="31" t="n"/>
    </row>
  </sheetData>
  <mergeCells count="83">
    <mergeCell ref="E8:E9"/>
    <mergeCell ref="A39:N39"/>
    <mergeCell ref="G8:G9"/>
    <mergeCell ref="A30:N30"/>
    <mergeCell ref="H11:H12"/>
    <mergeCell ref="B14:B15"/>
    <mergeCell ref="J11:J12"/>
    <mergeCell ref="L14:L15"/>
    <mergeCell ref="N14:N15"/>
    <mergeCell ref="A37:N37"/>
    <mergeCell ref="K3:L4"/>
    <mergeCell ref="M17:M18"/>
    <mergeCell ref="I20:I21"/>
    <mergeCell ref="D8:D9"/>
    <mergeCell ref="C25:E28"/>
    <mergeCell ref="H8:H9"/>
    <mergeCell ref="J8:J9"/>
    <mergeCell ref="C14:C15"/>
    <mergeCell ref="A3:B4"/>
    <mergeCell ref="E14:E15"/>
    <mergeCell ref="M3:N4"/>
    <mergeCell ref="A34:N34"/>
    <mergeCell ref="B17:B18"/>
    <mergeCell ref="D17:D18"/>
    <mergeCell ref="B11:B12"/>
    <mergeCell ref="D11:D12"/>
    <mergeCell ref="F20:F21"/>
    <mergeCell ref="A36:N36"/>
    <mergeCell ref="A1:N1"/>
    <mergeCell ref="H17:H18"/>
    <mergeCell ref="J20:J21"/>
    <mergeCell ref="L20:L21"/>
    <mergeCell ref="C8:C9"/>
    <mergeCell ref="C17:C18"/>
    <mergeCell ref="M8:M9"/>
    <mergeCell ref="A32:N32"/>
    <mergeCell ref="F11:F12"/>
    <mergeCell ref="C24:E24"/>
    <mergeCell ref="H14:H15"/>
    <mergeCell ref="J14:J15"/>
    <mergeCell ref="A38:N38"/>
    <mergeCell ref="G11:G12"/>
    <mergeCell ref="I11:I12"/>
    <mergeCell ref="G3:H4"/>
    <mergeCell ref="M20:M21"/>
    <mergeCell ref="I3:J4"/>
    <mergeCell ref="C20:C21"/>
    <mergeCell ref="E20:E21"/>
    <mergeCell ref="M11:M12"/>
    <mergeCell ref="B8:B9"/>
    <mergeCell ref="K11:K12"/>
    <mergeCell ref="F8:F9"/>
    <mergeCell ref="N17:N18"/>
    <mergeCell ref="F17:F18"/>
    <mergeCell ref="M14:M15"/>
    <mergeCell ref="I8:I9"/>
    <mergeCell ref="K8:K9"/>
    <mergeCell ref="A2:N2"/>
    <mergeCell ref="B20:B21"/>
    <mergeCell ref="D20:D21"/>
    <mergeCell ref="D14:D15"/>
    <mergeCell ref="L11:L12"/>
    <mergeCell ref="N11:N12"/>
    <mergeCell ref="F14:F15"/>
    <mergeCell ref="H20:H21"/>
    <mergeCell ref="E17:E18"/>
    <mergeCell ref="A31:N31"/>
    <mergeCell ref="G17:G18"/>
    <mergeCell ref="L8:L9"/>
    <mergeCell ref="N8:N9"/>
    <mergeCell ref="C11:C12"/>
    <mergeCell ref="E11:E12"/>
    <mergeCell ref="G20:G21"/>
    <mergeCell ref="C3:D4"/>
    <mergeCell ref="G14:G15"/>
    <mergeCell ref="E3:F4"/>
    <mergeCell ref="I14:I15"/>
    <mergeCell ref="F24:N29"/>
    <mergeCell ref="A33:N33"/>
    <mergeCell ref="A35:N35"/>
    <mergeCell ref="J17:J18"/>
    <mergeCell ref="L17:L18"/>
    <mergeCell ref="N20:N21"/>
  </mergeCells>
  <printOptions horizontalCentered="1" verticalCentered="1" gridLines="1"/>
  <pageMargins left="0.75" right="0.75" top="1" bottom="1" header="0.5" footer="0.5"/>
  <pageSetup orientation="landscape" scale="62"/>
</worksheet>
</file>

<file path=xl/worksheets/sheet8.xml><?xml version="1.0" encoding="utf-8"?>
<worksheet xmlns="http://schemas.openxmlformats.org/spreadsheetml/2006/main">
  <sheetPr>
    <outlinePr summaryBelow="1" summaryRight="1"/>
    <pageSetUpPr fitToPage="1"/>
  </sheetPr>
  <dimension ref="A2:W14"/>
  <sheetViews>
    <sheetView workbookViewId="0">
      <selection activeCell="C13" sqref="C13"/>
    </sheetView>
  </sheetViews>
  <sheetFormatPr baseColWidth="8" defaultRowHeight="15"/>
  <cols>
    <col width="26.7109375" customWidth="1" style="41" min="1" max="1"/>
    <col width="18.85546875" customWidth="1" style="41" min="2" max="2"/>
    <col width="9.140625" customWidth="1" style="41" min="3" max="3"/>
    <col width="21.85546875" customWidth="1" style="41" min="4" max="4"/>
    <col width="9.140625" customWidth="1" style="41" min="5" max="16384"/>
  </cols>
  <sheetData>
    <row r="2">
      <c r="A2" s="44" t="inlineStr">
        <is>
          <t>Mortgages</t>
        </is>
      </c>
      <c r="B2" s="184" t="inlineStr">
        <is>
          <t>Posted Rate</t>
        </is>
      </c>
      <c r="C2" s="144" t="n"/>
      <c r="D2" s="45" t="inlineStr">
        <is>
          <t>Competitive Market Rate</t>
        </is>
      </c>
    </row>
    <row r="3">
      <c r="A3" s="46" t="inlineStr">
        <is>
          <t>6 month closed</t>
        </is>
      </c>
      <c r="B3" s="127" t="n">
        <v>7.69</v>
      </c>
      <c r="C3" s="144" t="n"/>
      <c r="D3" s="47" t="inlineStr">
        <is>
          <t>n/a</t>
        </is>
      </c>
    </row>
    <row r="4">
      <c r="A4" s="46" t="inlineStr">
        <is>
          <t>6 month open</t>
        </is>
      </c>
      <c r="B4" s="127" t="n">
        <v>9.19</v>
      </c>
      <c r="C4" s="144" t="n"/>
      <c r="D4" s="48" t="inlineStr">
        <is>
          <t>n/a</t>
        </is>
      </c>
    </row>
    <row r="5">
      <c r="A5" s="46" t="inlineStr">
        <is>
          <t>1 year</t>
        </is>
      </c>
      <c r="B5" s="122" t="n">
        <v>7.19</v>
      </c>
      <c r="C5" s="144" t="n"/>
      <c r="D5" s="49" t="n">
        <v>0.0519</v>
      </c>
    </row>
    <row r="6">
      <c r="A6" s="46" t="inlineStr">
        <is>
          <t>2 years</t>
        </is>
      </c>
      <c r="B6" s="122" t="n">
        <v>7.09</v>
      </c>
      <c r="C6" s="144" t="n"/>
      <c r="D6" s="49" t="n">
        <v>0.0509</v>
      </c>
    </row>
    <row r="7">
      <c r="A7" s="46" t="inlineStr">
        <is>
          <t>3 years</t>
        </is>
      </c>
      <c r="B7" s="122" t="n">
        <v>6.99</v>
      </c>
      <c r="C7" s="144" t="n"/>
      <c r="D7" s="49" t="n">
        <v>0.0499</v>
      </c>
    </row>
    <row r="8">
      <c r="A8" s="46" t="inlineStr">
        <is>
          <t>4 years</t>
        </is>
      </c>
      <c r="B8" s="122" t="n">
        <v>6.89</v>
      </c>
      <c r="C8" s="144" t="n"/>
      <c r="D8" s="49" t="n">
        <v>0.0489</v>
      </c>
    </row>
    <row r="9">
      <c r="A9" s="46" t="inlineStr">
        <is>
          <t>5 years</t>
        </is>
      </c>
      <c r="B9" s="185" t="n">
        <v>6.79</v>
      </c>
      <c r="C9" s="144" t="n"/>
      <c r="D9" s="49" t="n">
        <v>0.0479</v>
      </c>
    </row>
    <row r="10">
      <c r="B10" s="122" t="inlineStr">
        <is>
          <t> </t>
        </is>
      </c>
      <c r="C10" s="144" t="n"/>
    </row>
    <row r="11">
      <c r="B11" s="41" t="inlineStr">
        <is>
          <t>  </t>
        </is>
      </c>
    </row>
    <row r="13" ht="255" customHeight="1">
      <c r="A13" s="50" t="inlineStr">
        <is>
          <t xml:space="preserve">The above markert rates are competitive with other major FI.  However market rates will generally be lower at LSM and occasionally other FI.  Please note VCUs intention is to remain competitive, accordingly on occassion we will match LSM market rates on HIgh Ratio Purchases and other competitive files as requried. </t>
        </is>
      </c>
      <c r="B13" s="40" t="n"/>
      <c r="C13" s="40" t="n"/>
      <c r="D13" s="40" t="n"/>
      <c r="E13" s="40" t="n"/>
      <c r="F13" s="40" t="n"/>
      <c r="G13" s="40" t="n"/>
      <c r="H13" s="40" t="n"/>
      <c r="I13" s="40" t="n"/>
      <c r="J13" s="40" t="n"/>
      <c r="K13" s="40" t="n"/>
      <c r="L13" s="40" t="n"/>
      <c r="M13" s="40" t="n"/>
      <c r="N13" s="40" t="n"/>
      <c r="O13" s="40" t="n"/>
      <c r="P13" s="40" t="n"/>
      <c r="Q13" s="40" t="n"/>
      <c r="R13" s="40" t="n"/>
      <c r="S13" s="40" t="n"/>
      <c r="T13" s="40" t="n"/>
      <c r="U13" s="40" t="n"/>
      <c r="V13" s="40" t="n"/>
      <c r="W13" s="40" t="n"/>
    </row>
    <row r="14" ht="60" customHeight="1">
      <c r="A14" s="50" t="inlineStr">
        <is>
          <t xml:space="preserve">If you wish to discuss before submitting please feel free to do so. </t>
        </is>
      </c>
      <c r="B14" s="40" t="n"/>
      <c r="C14" s="40" t="n"/>
      <c r="D14" s="40" t="n"/>
      <c r="E14" s="40" t="n"/>
      <c r="F14" s="40" t="n"/>
      <c r="G14" s="40" t="n"/>
      <c r="H14" s="40" t="n"/>
      <c r="I14" s="40" t="n"/>
      <c r="J14" s="40" t="n"/>
    </row>
    <row r="21" hidden="1" customFormat="1" s="41"/>
  </sheetData>
  <mergeCells count="9">
    <mergeCell ref="B6:C6"/>
    <mergeCell ref="B2:C2"/>
    <mergeCell ref="B7:C7"/>
    <mergeCell ref="B3:C3"/>
    <mergeCell ref="B5:C5"/>
    <mergeCell ref="B10:C10"/>
    <mergeCell ref="B9:C9"/>
    <mergeCell ref="B8:C8"/>
    <mergeCell ref="B4:C4"/>
  </mergeCells>
  <pageMargins left="0.7" right="0.7" top="0.75" bottom="0.75" header="0.3" footer="0.3"/>
  <pageSetup orientation="landscape" paperSize="5" blackAndWhite="1"/>
</worksheet>
</file>

<file path=xl/worksheets/sheet9.xml><?xml version="1.0" encoding="utf-8"?>
<worksheet xmlns="http://schemas.openxmlformats.org/spreadsheetml/2006/main">
  <sheetPr codeName="Sheet2">
    <outlinePr summaryBelow="1" summaryRight="1"/>
    <pageSetUpPr fitToPage="1"/>
  </sheetPr>
  <dimension ref="A1:J13"/>
  <sheetViews>
    <sheetView zoomScaleNormal="100" workbookViewId="0">
      <selection activeCell="C18" sqref="C18"/>
    </sheetView>
  </sheetViews>
  <sheetFormatPr baseColWidth="8" defaultRowHeight="12.75"/>
  <cols>
    <col width="15.7109375" customWidth="1" min="1" max="6"/>
    <col width="21.140625" customWidth="1" min="7" max="7"/>
    <col width="15.7109375" customWidth="1" min="8" max="8"/>
    <col width="25.7109375" customWidth="1" min="9" max="10"/>
  </cols>
  <sheetData>
    <row r="1" ht="24.95" customHeight="1">
      <c r="A1" s="40" t="inlineStr">
        <is>
          <t>A Mortgage Criteria:</t>
        </is>
      </c>
      <c r="B1" s="41" t="n"/>
      <c r="C1" s="41" t="n"/>
      <c r="D1" s="41" t="n"/>
      <c r="E1" s="41" t="n"/>
      <c r="F1" s="41" t="n"/>
      <c r="G1" s="41" t="n"/>
      <c r="H1" s="41" t="n"/>
    </row>
    <row r="2" ht="24.95" customHeight="1">
      <c r="A2" s="41" t="n"/>
      <c r="B2" s="41" t="inlineStr">
        <is>
          <t>Insured or Uninsured</t>
        </is>
      </c>
      <c r="C2" s="41" t="n"/>
      <c r="D2" s="41" t="n"/>
      <c r="E2" s="41" t="n"/>
      <c r="F2" s="41" t="n"/>
      <c r="G2" s="41" t="n"/>
      <c r="H2" s="41" t="n"/>
    </row>
    <row r="3" ht="24.95" customHeight="1">
      <c r="A3" s="41" t="n"/>
      <c r="B3" s="41" t="inlineStr">
        <is>
          <t>Good Credit i.e. Minimum 650 beacon with no o/s derogatory on bureau</t>
        </is>
      </c>
      <c r="C3" s="41" t="n"/>
      <c r="D3" s="41" t="n"/>
      <c r="E3" s="41" t="n"/>
      <c r="F3" s="41" t="n"/>
      <c r="G3" s="41" t="n"/>
      <c r="H3" s="41" t="n"/>
    </row>
    <row r="4" ht="15" customHeight="1">
      <c r="A4" s="41" t="n"/>
      <c r="B4" s="41" t="inlineStr">
        <is>
          <t>Good Quality Property - Insured or good condition confirmed by appraisal or improvements addressed as part of the deal</t>
        </is>
      </c>
      <c r="C4" s="41" t="n"/>
      <c r="D4" s="41" t="n"/>
      <c r="E4" s="41" t="n"/>
      <c r="F4" s="41" t="n"/>
      <c r="G4" s="41" t="n"/>
      <c r="H4" s="41" t="n"/>
    </row>
    <row r="5" ht="15" customHeight="1">
      <c r="A5" s="41" t="n"/>
      <c r="B5" s="41" t="inlineStr">
        <is>
          <t>Income to be verifiable as per internal procedures (including TDS and GDS)</t>
        </is>
      </c>
      <c r="C5" s="41" t="n"/>
      <c r="D5" s="41" t="n"/>
      <c r="E5" s="41" t="n"/>
      <c r="F5" s="41" t="n"/>
      <c r="G5" s="41" t="n"/>
      <c r="H5" s="41" t="n"/>
      <c r="I5" s="4" t="n"/>
      <c r="J5" s="4" t="n"/>
    </row>
    <row r="6" ht="15" customHeight="1">
      <c r="A6" s="41" t="n"/>
      <c r="B6" s="41" t="n"/>
      <c r="C6" s="41" t="n"/>
      <c r="D6" s="41" t="n"/>
      <c r="E6" s="41" t="n"/>
      <c r="F6" s="41" t="n"/>
      <c r="G6" s="41" t="n"/>
      <c r="H6" s="41" t="n"/>
      <c r="I6" s="7" t="n"/>
      <c r="J6" s="6" t="n"/>
    </row>
    <row r="7" ht="15" customHeight="1">
      <c r="A7" s="41" t="n"/>
      <c r="B7" s="41" t="inlineStr">
        <is>
          <t xml:space="preserve">Rates:  Competitive Market Rates </t>
        </is>
      </c>
      <c r="C7" s="41" t="n"/>
      <c r="D7" s="41" t="inlineStr">
        <is>
          <t>See attached Market Mortgage Rates   ( Competitive with Big 5 Banks)</t>
        </is>
      </c>
      <c r="E7" s="41" t="n"/>
      <c r="F7" s="41" t="n"/>
      <c r="G7" s="41" t="n"/>
      <c r="H7" s="41" t="n"/>
      <c r="J7" s="5" t="n"/>
    </row>
    <row r="8" ht="15" customHeight="1">
      <c r="A8" s="41" t="n"/>
      <c r="B8" s="41" t="n"/>
      <c r="C8" s="41" t="n"/>
      <c r="D8" s="41" t="n"/>
      <c r="E8" s="41" t="n"/>
      <c r="F8" s="41" t="n"/>
      <c r="G8" s="41" t="n"/>
      <c r="H8" s="41" t="n"/>
      <c r="J8" s="5" t="n"/>
    </row>
    <row r="9" ht="15" customHeight="1">
      <c r="A9" s="41" t="n"/>
      <c r="B9" s="41" t="inlineStr">
        <is>
          <t xml:space="preserve">Minimum Mortgage $100K.  If &lt;$100K best rate + 1/2%   </t>
        </is>
      </c>
      <c r="C9" s="41" t="n"/>
      <c r="D9" s="41" t="n"/>
      <c r="E9" s="41" t="n"/>
      <c r="F9" s="41" t="n"/>
      <c r="G9" s="41" t="n"/>
      <c r="H9" s="41" t="n"/>
      <c r="J9" s="5" t="n"/>
    </row>
    <row r="10" ht="15" customHeight="1">
      <c r="A10" s="41" t="n"/>
      <c r="B10" s="41" t="n"/>
      <c r="C10" s="41" t="n"/>
      <c r="D10" s="41" t="n"/>
      <c r="E10" s="41" t="n"/>
      <c r="F10" s="41" t="n"/>
      <c r="G10" s="41" t="n"/>
      <c r="H10" s="41" t="n"/>
    </row>
    <row r="11" ht="15" customHeight="1">
      <c r="A11" s="41" t="n"/>
      <c r="B11" s="41" t="n"/>
      <c r="C11" s="41" t="n"/>
      <c r="D11" s="41" t="n"/>
      <c r="E11" s="41" t="n"/>
      <c r="F11" s="41" t="n"/>
      <c r="G11" s="41" t="n"/>
      <c r="H11" s="41" t="n"/>
      <c r="J11" s="4" t="n"/>
    </row>
    <row r="12" ht="13.15" customHeight="1">
      <c r="A12" s="41" t="n"/>
      <c r="B12" s="41" t="inlineStr">
        <is>
          <t>*Cash Back, Construction and Borrowed down remain the same (i.e. Cash Back at 5 year posted)  Elaborate</t>
        </is>
      </c>
      <c r="C12" s="41" t="n"/>
      <c r="D12" s="41" t="n"/>
      <c r="E12" s="41" t="n"/>
      <c r="F12" s="41" t="n"/>
      <c r="G12" s="41" t="n"/>
      <c r="H12" s="41" t="n"/>
      <c r="J12" s="4" t="n"/>
    </row>
    <row r="13">
      <c r="A13" s="2" t="n"/>
    </row>
  </sheetData>
  <pageMargins left="0.7086614173228347" right="0.7086614173228347" top="0.7480314960629921" bottom="0.7480314960629921" header="0.3149606299212598" footer="0.3149606299212598"/>
  <pageSetup orientation="portrait" scale="70"/>
</worksheet>
</file>

<file path=xl/worksheets/sheet10.xml><?xml version="1.0" encoding="utf-8"?>
<worksheet xmlns="http://schemas.openxmlformats.org/spreadsheetml/2006/main">
  <sheetPr>
    <outlinePr summaryBelow="1" summaryRight="1"/>
    <pageSetUpPr fitToPage="1"/>
  </sheetPr>
  <dimension ref="A1:K16"/>
  <sheetViews>
    <sheetView workbookViewId="0">
      <selection activeCell="D15" sqref="D15"/>
    </sheetView>
  </sheetViews>
  <sheetFormatPr baseColWidth="8" defaultRowHeight="12.75"/>
  <cols>
    <col width="15.7109375" customWidth="1" min="1" max="9"/>
    <col width="46.140625" customWidth="1" min="11" max="11"/>
  </cols>
  <sheetData>
    <row r="1" ht="15" customHeight="1">
      <c r="A1" s="40" t="inlineStr">
        <is>
          <t>B Mortgage Criteria:</t>
        </is>
      </c>
      <c r="B1" s="41" t="n"/>
      <c r="C1" s="41" t="n"/>
      <c r="D1" s="41" t="n"/>
      <c r="E1" s="41" t="n"/>
      <c r="F1" s="41" t="n"/>
      <c r="G1" s="41" t="n"/>
      <c r="H1" s="41" t="n"/>
      <c r="I1" s="41" t="n"/>
      <c r="J1" s="41" t="n"/>
      <c r="K1" s="41" t="n"/>
    </row>
    <row r="2" ht="15" customHeight="1">
      <c r="A2" s="41" t="n"/>
      <c r="B2" s="41" t="inlineStr">
        <is>
          <t>Insured or Uninsured</t>
        </is>
      </c>
      <c r="C2" s="41" t="n"/>
      <c r="D2" s="41" t="n"/>
      <c r="E2" s="41" t="n"/>
      <c r="F2" s="41" t="n"/>
      <c r="G2" s="41" t="n"/>
      <c r="H2" s="41" t="n"/>
      <c r="I2" s="41" t="n"/>
      <c r="J2" s="41" t="n"/>
      <c r="K2" s="41" t="n"/>
    </row>
    <row r="3" ht="15" customHeight="1">
      <c r="A3" s="41" t="n"/>
      <c r="B3" s="41" t="inlineStr">
        <is>
          <t>Good Credit i.e. Minimum 600 beacon with no o/s derogatory on bureau</t>
        </is>
      </c>
      <c r="C3" s="41" t="n"/>
      <c r="D3" s="41" t="n"/>
      <c r="E3" s="41" t="n"/>
      <c r="F3" s="41" t="n"/>
      <c r="G3" s="41" t="n"/>
      <c r="H3" s="41" t="n"/>
      <c r="I3" s="41" t="n"/>
      <c r="J3" s="41" t="n"/>
      <c r="K3" s="41" t="n"/>
    </row>
    <row r="4" ht="15" customHeight="1">
      <c r="A4" s="41" t="n"/>
      <c r="B4" s="41" t="inlineStr">
        <is>
          <t>Good Quality Property - Insured or good condition confirmed by appraisal or improvements addressed as part of the deal</t>
        </is>
      </c>
      <c r="C4" s="41" t="n"/>
      <c r="D4" s="41" t="n"/>
      <c r="E4" s="41" t="n"/>
      <c r="F4" s="41" t="n"/>
      <c r="G4" s="41" t="n"/>
      <c r="H4" s="41" t="n"/>
      <c r="I4" s="41" t="n"/>
      <c r="J4" s="41" t="n"/>
      <c r="K4" s="41" t="n"/>
    </row>
    <row r="5" ht="15" customHeight="1">
      <c r="A5" s="41" t="n"/>
      <c r="B5" s="41" t="inlineStr">
        <is>
          <t>Comfortable of repayment ability but income may not be 100% verifiable (TDS or GDS may be outside of procedures)</t>
        </is>
      </c>
      <c r="C5" s="41" t="n"/>
      <c r="D5" s="41" t="n"/>
      <c r="E5" s="41" t="n"/>
      <c r="F5" s="41" t="n"/>
      <c r="G5" s="41" t="n"/>
      <c r="H5" s="41" t="n"/>
      <c r="I5" s="41" t="n"/>
      <c r="J5" s="41" t="n"/>
      <c r="K5" s="41" t="n"/>
    </row>
    <row r="6" ht="15" customHeight="1">
      <c r="A6" s="41" t="n"/>
      <c r="B6" s="41" t="n"/>
      <c r="C6" s="41" t="n"/>
      <c r="D6" s="41" t="n"/>
      <c r="E6" s="41" t="n"/>
      <c r="F6" s="41" t="n"/>
      <c r="G6" s="41" t="n"/>
      <c r="H6" s="41" t="n"/>
      <c r="I6" s="41" t="n"/>
      <c r="J6" s="41" t="n"/>
      <c r="K6" s="41" t="n"/>
    </row>
    <row r="7" ht="15" customHeight="1">
      <c r="A7" s="41" t="n"/>
      <c r="B7" s="40" t="inlineStr">
        <is>
          <t>Rates:  VCU 3 year posted or longer (Posted Rates)</t>
        </is>
      </c>
      <c r="C7" s="40" t="n"/>
      <c r="D7" s="40" t="n"/>
      <c r="E7" s="40" t="inlineStr">
        <is>
          <t>CMHC or Sagen Insured up to 1% off 5 year posted.   Rate must be Equal to or greater than VCU Market Rate</t>
        </is>
      </c>
      <c r="F7" s="40" t="n"/>
      <c r="G7" s="40" t="n"/>
      <c r="H7" s="40" t="n"/>
      <c r="I7" s="40" t="n"/>
      <c r="J7" s="41" t="n"/>
      <c r="K7" s="41" t="n"/>
    </row>
    <row r="8" ht="28.5" customHeight="1">
      <c r="A8" s="41" t="n"/>
      <c r="B8" s="40" t="inlineStr">
        <is>
          <t xml:space="preserve">Minimum Mortgage $100K.  If &lt;$100K  rate + 1/2%   </t>
        </is>
      </c>
      <c r="C8" s="41" t="n"/>
      <c r="D8" s="41" t="n"/>
      <c r="E8" s="41" t="n"/>
      <c r="F8" s="41" t="n"/>
      <c r="G8" s="41" t="n"/>
      <c r="H8" s="41" t="n"/>
      <c r="I8" s="41" t="n"/>
      <c r="J8" s="41" t="n"/>
      <c r="K8" s="41" t="n"/>
    </row>
    <row r="9" ht="15" customHeight="1">
      <c r="A9" s="41" t="n"/>
      <c r="B9" s="41" t="n"/>
      <c r="C9" s="41" t="n"/>
      <c r="D9" s="41" t="n"/>
      <c r="E9" s="41" t="n"/>
      <c r="F9" s="41" t="n"/>
      <c r="G9" s="41" t="n"/>
      <c r="H9" s="41" t="n"/>
      <c r="I9" s="41" t="n"/>
      <c r="J9" s="41" t="n"/>
      <c r="K9" s="41" t="n"/>
    </row>
    <row r="10" ht="15" customHeight="1">
      <c r="A10" s="41" t="n"/>
      <c r="B10" s="40" t="inlineStr">
        <is>
          <t>*   Uninsured  Rate Discounts  require Head Office approval (max discount 1% off 5 year term based on net worth, VCU history, LTV, etc)</t>
        </is>
      </c>
      <c r="C10" s="40" t="n"/>
      <c r="D10" s="43" t="n"/>
      <c r="E10" s="40" t="n"/>
      <c r="F10" s="40" t="n"/>
      <c r="G10" s="40" t="n"/>
      <c r="H10" s="40" t="n"/>
      <c r="I10" s="40" t="n"/>
      <c r="J10" s="41" t="n"/>
      <c r="K10" s="41" t="n"/>
    </row>
    <row r="11" ht="15" customHeight="1">
      <c r="A11" s="41" t="n"/>
      <c r="B11" s="41" t="n"/>
      <c r="C11" s="41" t="n"/>
      <c r="D11" s="40" t="n"/>
      <c r="E11" s="40" t="inlineStr">
        <is>
          <t>Rate must be equal to or greater than VCU  Market Rates</t>
        </is>
      </c>
      <c r="F11" s="40" t="n"/>
      <c r="G11" s="41" t="n"/>
      <c r="H11" s="41" t="n"/>
      <c r="I11" s="41" t="n"/>
      <c r="J11" s="41" t="n"/>
      <c r="K11" s="41" t="n"/>
    </row>
    <row r="12" ht="15" customHeight="1">
      <c r="A12" s="41" t="n"/>
      <c r="B12" s="41" t="n"/>
      <c r="C12" s="41" t="n"/>
      <c r="D12" s="41" t="n"/>
      <c r="E12" s="41" t="n"/>
      <c r="F12" s="41" t="n"/>
      <c r="G12" s="41" t="n"/>
      <c r="H12" s="41" t="n"/>
      <c r="I12" s="41" t="n"/>
      <c r="J12" s="41" t="n"/>
      <c r="K12" s="41" t="n"/>
    </row>
    <row r="13" ht="15" customHeight="1">
      <c r="A13" s="41" t="n"/>
      <c r="B13" s="41" t="n"/>
      <c r="C13" s="41" t="n"/>
      <c r="D13" s="41" t="n"/>
      <c r="E13" s="41" t="n"/>
      <c r="F13" s="41" t="n"/>
      <c r="G13" s="41" t="n"/>
      <c r="H13" s="41" t="n"/>
      <c r="I13" s="41" t="n"/>
      <c r="J13" s="41" t="n"/>
      <c r="K13" s="41" t="n"/>
    </row>
    <row r="14" ht="15" customHeight="1">
      <c r="A14" s="41" t="n"/>
      <c r="B14" s="41" t="n"/>
      <c r="C14" s="41" t="n"/>
      <c r="D14" s="41" t="n"/>
      <c r="E14" s="41" t="n"/>
      <c r="F14" s="41" t="n"/>
      <c r="G14" s="41" t="n"/>
      <c r="H14" s="41" t="n"/>
      <c r="I14" s="41" t="n"/>
      <c r="J14" s="41" t="n"/>
      <c r="K14" s="41" t="n"/>
    </row>
    <row r="15" ht="15" customHeight="1">
      <c r="A15" s="41" t="n"/>
      <c r="B15" s="41" t="n"/>
      <c r="C15" s="41" t="n"/>
      <c r="D15" s="41" t="n"/>
      <c r="E15" s="41" t="n"/>
      <c r="F15" s="41" t="n"/>
      <c r="G15" s="41" t="n"/>
      <c r="H15" s="41" t="n"/>
      <c r="I15" s="41" t="n"/>
      <c r="J15" s="41" t="n"/>
      <c r="K15" s="41" t="n"/>
    </row>
    <row r="16" ht="15" customHeight="1">
      <c r="A16" s="41" t="n"/>
      <c r="B16" s="41" t="n"/>
      <c r="C16" s="41" t="n"/>
      <c r="D16" s="41" t="n"/>
      <c r="E16" s="41" t="n"/>
      <c r="F16" s="41" t="n"/>
      <c r="G16" s="41" t="n"/>
      <c r="H16" s="41" t="n"/>
      <c r="I16" s="41" t="n"/>
      <c r="J16" s="41" t="n"/>
      <c r="K16" s="41" t="n"/>
    </row>
  </sheetData>
  <pageMargins left="0.7" right="0.7" top="0.75" bottom="0.75" header="0.3" footer="0.3"/>
  <pageSetup orientation="landscape" fitToHeight="0"/>
</worksheet>
</file>

<file path=xl/worksheets/sheet11.xml><?xml version="1.0" encoding="utf-8"?>
<worksheet xmlns="http://schemas.openxmlformats.org/spreadsheetml/2006/main">
  <sheetPr>
    <outlinePr summaryBelow="1" summaryRight="1"/>
    <pageSetUpPr/>
  </sheetPr>
  <dimension ref="A1:J12"/>
  <sheetViews>
    <sheetView workbookViewId="0">
      <selection activeCell="F8" sqref="F8"/>
    </sheetView>
  </sheetViews>
  <sheetFormatPr baseColWidth="8" defaultRowHeight="12.75"/>
  <cols>
    <col width="15.7109375" customWidth="1" min="1" max="9"/>
    <col width="46.140625" customWidth="1" min="11" max="11"/>
  </cols>
  <sheetData>
    <row r="1" ht="15" customHeight="1">
      <c r="A1" s="40" t="inlineStr">
        <is>
          <t>C Mortgage Criteria:</t>
        </is>
      </c>
      <c r="B1" s="41" t="n"/>
      <c r="C1" s="41" t="n"/>
      <c r="D1" s="41" t="n"/>
      <c r="E1" s="41" t="n"/>
      <c r="F1" s="41" t="n"/>
      <c r="G1" s="41" t="n"/>
      <c r="H1" s="41" t="n"/>
      <c r="I1" s="41" t="n"/>
      <c r="J1" s="41" t="n"/>
    </row>
    <row r="2" ht="15" customHeight="1">
      <c r="A2" s="41" t="n"/>
      <c r="B2" s="41" t="inlineStr">
        <is>
          <t>Uninsured</t>
        </is>
      </c>
      <c r="C2" s="41" t="n"/>
      <c r="D2" s="41" t="n"/>
      <c r="E2" s="41" t="n"/>
      <c r="F2" s="41" t="n"/>
      <c r="G2" s="41" t="n"/>
      <c r="H2" s="41" t="n"/>
      <c r="I2" s="41" t="n"/>
      <c r="J2" s="41" t="n"/>
    </row>
    <row r="3" ht="15" customHeight="1">
      <c r="A3" s="41" t="n"/>
      <c r="B3" s="41" t="inlineStr">
        <is>
          <t>Credit Challenged: Low Beacon , Under 600 in some cases</t>
        </is>
      </c>
      <c r="C3" s="41" t="n"/>
      <c r="D3" s="41" t="n"/>
      <c r="E3" s="41" t="n"/>
      <c r="F3" s="41" t="n"/>
      <c r="G3" s="41" t="n"/>
      <c r="H3" s="41" t="n"/>
      <c r="I3" s="41" t="n"/>
      <c r="J3" s="41" t="n"/>
    </row>
    <row r="4" ht="15" customHeight="1">
      <c r="A4" s="41" t="n"/>
      <c r="B4" s="42" t="inlineStr">
        <is>
          <t>Property - fair condition as per "required" appraisal, very rural or poor location i.e negatively impacting marketability.</t>
        </is>
      </c>
      <c r="C4" s="41" t="n"/>
      <c r="D4" s="41" t="n"/>
      <c r="E4" s="41" t="n"/>
      <c r="F4" s="41" t="n"/>
      <c r="G4" s="41" t="n"/>
      <c r="H4" s="41" t="n"/>
      <c r="I4" s="41" t="n"/>
      <c r="J4" s="41" t="n"/>
    </row>
    <row r="5" ht="15" customHeight="1">
      <c r="A5" s="41" t="n"/>
      <c r="B5" s="41" t="inlineStr">
        <is>
          <t>Maximum LTV  65%</t>
        </is>
      </c>
      <c r="C5" s="41" t="n"/>
      <c r="D5" s="41" t="n"/>
      <c r="E5" s="41" t="n"/>
      <c r="F5" s="41" t="n"/>
      <c r="G5" s="41" t="n"/>
      <c r="H5" s="41" t="n"/>
      <c r="I5" s="41" t="n"/>
      <c r="J5" s="41" t="n"/>
    </row>
    <row r="6" ht="15" customHeight="1">
      <c r="A6" s="41" t="n"/>
      <c r="B6" s="41" t="inlineStr">
        <is>
          <t>Comfortable of repayment ability but income may not be 100% verifiable (TDS or GDS may be outside of procedures)</t>
        </is>
      </c>
      <c r="C6" s="41" t="n"/>
      <c r="D6" s="41" t="n"/>
      <c r="E6" s="41" t="n"/>
      <c r="F6" s="41" t="n"/>
      <c r="G6" s="41" t="n"/>
      <c r="H6" s="41" t="n"/>
      <c r="I6" s="41" t="n"/>
      <c r="J6" s="41" t="n"/>
    </row>
    <row r="7" ht="15" customHeight="1">
      <c r="A7" s="41" t="n"/>
      <c r="B7" s="41" t="n"/>
      <c r="C7" s="41" t="n"/>
      <c r="D7" s="41" t="n"/>
      <c r="E7" s="41" t="n"/>
      <c r="F7" s="41" t="n"/>
      <c r="G7" s="41" t="n"/>
      <c r="H7" s="41" t="n"/>
      <c r="I7" s="41" t="n"/>
      <c r="J7" s="41" t="n"/>
    </row>
    <row r="8" ht="15" customHeight="1">
      <c r="A8" s="41" t="n"/>
      <c r="B8" s="40" t="inlineStr">
        <is>
          <t>Rates:  Minimum VCU 3 year to 5 year post rate  plus minimum of 2%</t>
        </is>
      </c>
      <c r="C8" s="40" t="n"/>
      <c r="D8" s="40" t="n"/>
      <c r="E8" s="41" t="n"/>
      <c r="F8" s="41" t="n"/>
      <c r="G8" s="41" t="n"/>
      <c r="H8" s="41" t="n"/>
      <c r="I8" s="41" t="n"/>
      <c r="J8" s="41" t="n"/>
    </row>
    <row r="9" ht="15" customHeight="1">
      <c r="A9" s="41" t="n"/>
      <c r="B9" s="40" t="inlineStr">
        <is>
          <t xml:space="preserve">Minimum Mortgage $100K.  If &lt;$100K  rate + 1/2%   </t>
        </is>
      </c>
      <c r="C9" s="40" t="n"/>
      <c r="D9" s="40" t="n"/>
      <c r="E9" s="41" t="n"/>
      <c r="F9" s="41" t="n"/>
      <c r="G9" s="41" t="n"/>
      <c r="H9" s="41" t="n"/>
      <c r="I9" s="41" t="n"/>
      <c r="J9" s="41" t="n"/>
    </row>
    <row r="10" ht="28.5" customHeight="1">
      <c r="A10" s="41" t="n"/>
      <c r="B10" s="40" t="n"/>
      <c r="C10" s="40" t="n"/>
      <c r="D10" s="40" t="n"/>
      <c r="E10" s="41" t="n"/>
      <c r="F10" s="41" t="n"/>
      <c r="G10" s="41" t="n"/>
      <c r="H10" s="41" t="n"/>
      <c r="I10" s="41" t="n"/>
      <c r="J10" s="41" t="n"/>
    </row>
    <row r="11">
      <c r="B11" s="4" t="n"/>
      <c r="C11" s="4" t="n"/>
      <c r="D11" s="5" t="n"/>
      <c r="E11" s="4" t="n"/>
    </row>
    <row r="12">
      <c r="B12" s="4" t="n"/>
    </row>
  </sheetData>
  <pageMargins left="0.7" right="0.7" top="0.75" bottom="0.75" header="0.3" footer="0.3"/>
  <pageSetup orientation="portrait" fitToHeight="0" fitToWidth="0"/>
</worksheet>
</file>

<file path=xl/worksheets/sheet12.xml><?xml version="1.0" encoding="utf-8"?>
<worksheet xmlns="http://schemas.openxmlformats.org/spreadsheetml/2006/main">
  <sheetPr>
    <outlinePr summaryBelow="1" summaryRight="1"/>
    <pageSetUpPr/>
  </sheetPr>
  <dimension ref="A1:A1"/>
  <sheetViews>
    <sheetView workbookViewId="0">
      <selection activeCell="A1" sqref="A1"/>
    </sheetView>
  </sheetViews>
  <sheetFormatPr baseColWidth="8" defaultRowHeight="12.75"/>
  <sheetData/>
  <pageMargins left="0.7" right="0.7" top="0.75" bottom="0.75" header="0.3" footer="0.3"/>
</worksheet>
</file>

<file path=xl/worksheets/sheet13.xml><?xml version="1.0" encoding="utf-8"?>
<worksheet xmlns="http://schemas.openxmlformats.org/spreadsheetml/2006/main">
  <sheetPr>
    <outlinePr summaryBelow="1" summaryRight="1"/>
    <pageSetUpPr fitToPage="1"/>
  </sheetPr>
  <dimension ref="A1:D14"/>
  <sheetViews>
    <sheetView workbookViewId="0">
      <selection activeCell="H16" sqref="H16"/>
    </sheetView>
  </sheetViews>
  <sheetFormatPr baseColWidth="8" defaultRowHeight="15"/>
  <cols>
    <col width="9.140625" customWidth="1" style="41" min="1" max="16384"/>
  </cols>
  <sheetData>
    <row r="1">
      <c r="A1" s="40" t="inlineStr">
        <is>
          <t>Mortgage Renewal Process</t>
        </is>
      </c>
      <c r="D1" s="40" t="inlineStr">
        <is>
          <t>60 to 90 days Prior to Maturity</t>
        </is>
      </c>
    </row>
    <row r="3">
      <c r="A3" s="41" t="inlineStr">
        <is>
          <t>Step 1  Review existing mortgage to understand applicant, property,posted rate and discount given at time of approval or last renewal</t>
        </is>
      </c>
    </row>
    <row r="5">
      <c r="A5" s="41" t="inlineStr">
        <is>
          <t xml:space="preserve">Step 2  Contact member to advise of upcoming maturity. Engage with member to confirm if  any plans to renovate, consider selling , consolidate etc. </t>
        </is>
      </c>
    </row>
    <row r="7">
      <c r="A7" s="41" t="inlineStr">
        <is>
          <t xml:space="preserve">Step 3  If  A mortgage renew mortgage if no other needs identified. </t>
        </is>
      </c>
    </row>
    <row r="9">
      <c r="A9" s="41" t="inlineStr">
        <is>
          <t xml:space="preserve">Step 4  If mortgage has been identified as B or C mortgage ( higher rate) engage with member to determine what has changed, renew mortgage based on updated circumstances of the member including credit scores, capacity, VCU relationship etc. </t>
        </is>
      </c>
    </row>
    <row r="11">
      <c r="A11" s="41" t="inlineStr">
        <is>
          <t>Step 5   Document renewal efforts and terms of renewal should be well noted in KYM</t>
        </is>
      </c>
    </row>
    <row r="12">
      <c r="A12" s="40" t="inlineStr">
        <is>
          <t> </t>
        </is>
      </c>
    </row>
    <row r="14">
      <c r="A14" s="41" t="inlineStr">
        <is>
          <t>Adding value and identifying opportunities at mortgage renewal should apply in all cases.</t>
        </is>
      </c>
    </row>
  </sheetData>
  <pageMargins left="0.7" right="0.7" top="0.75" bottom="0.75" header="0.3" footer="0.3"/>
  <pageSetup orientation="landscape" fitToHeight="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Bill Falconer</dc:creator>
  <dcterms:created xsi:type="dcterms:W3CDTF">2003-08-08T13:20:13Z</dcterms:created>
  <dcterms:modified xsi:type="dcterms:W3CDTF">2026-06-18T17:30:05Z</dcterms:modified>
  <cp:lastModifiedBy>Priya Brenkley</cp:lastModifiedBy>
  <cp:lastPrinted>2026-06-17T16:49:23Z</cp:lastPrinted>
</cp:coreProperties>
</file>

<file path=docProps/custom.xml><?xml version="1.0" encoding="utf-8"?>
<Properties xmlns:vt="http://schemas.openxmlformats.org/officeDocument/2006/docPropsVTypes" xmlns="http://schemas.openxmlformats.org/officeDocument/2006/custom-properties">
  <property name="ContentTypeId" fmtid="{D5CDD505-2E9C-101B-9397-08002B2CF9AE}" pid="2">
    <vt:lpwstr>0x010100B5B06E96B2CDED46A242ECED529D9843</vt:lpwstr>
  </property>
  <property name="MediaServiceImageTags" fmtid="{D5CDD505-2E9C-101B-9397-08002B2CF9AE}" pid="3">
    <vt:lpwstr/>
  </property>
</Properties>
</file>